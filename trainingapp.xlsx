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Copy of Pre Workout 1" sheetId="2" r:id="rId5"/>
    <sheet state="visible" name="Copy of Pre Workout 2" sheetId="3" r:id="rId6"/>
    <sheet state="visible" name="Copy of DETERMINING MAX WEEK" sheetId="4" r:id="rId7"/>
    <sheet state="visible" name="Copy of Week 1 MASTER SHEET" sheetId="5" r:id="rId8"/>
    <sheet state="visible" name="Copy of DETERMINING MAX WEEK 1" sheetId="6" r:id="rId9"/>
    <sheet state="visible" name="Copy of Week 1 MASTER SHEET 1" sheetId="7" r:id="rId10"/>
    <sheet state="visible" name="Copy of WEEK 1 " sheetId="8" r:id="rId11"/>
    <sheet state="visible" name="Copy of WEEK 2" sheetId="9" r:id="rId12"/>
    <sheet state="visible" name="Copy of Week 2 (MASTER SHEET)" sheetId="10" r:id="rId13"/>
    <sheet state="visible" name="Copy of Week 3 Master Sheet" sheetId="11" r:id="rId14"/>
    <sheet state="visible" name="Copy of WEEK 3 " sheetId="12" r:id="rId15"/>
    <sheet state="visible" name="Copy of WEEK 4 Master Sheet " sheetId="13" r:id="rId16"/>
    <sheet state="visible" name="Copy of WEEK 4  1" sheetId="14"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34">
      <text>
        <t xml:space="preserve">1 minute rest between sets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8">
      <text>
        <t xml:space="preserve">Do not max on bench without someone to spot. It can be dangerous to bench press alone. </t>
      </text>
    </comment>
    <comment authorId="0" ref="O18">
      <text>
        <t xml:space="preserve">Do not max on bench without someone to spot. It can be dangerous to bench press alone. </t>
      </text>
    </comment>
    <comment authorId="0" ref="A111">
      <text>
        <t xml:space="preserve">Breaking up the reps will not count as a max. How many reps you will be able to do consecutively determines your max. The more fatigued your legs get as you increase in weight, take more rest between sets. Max Rest should be 2 min. Min Rest 1 minute.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5">
      <text>
        <t xml:space="preserve">1 minute rest between sets</t>
      </text>
    </comment>
    <comment authorId="0" ref="A103">
      <text>
        <t xml:space="preserve">1 minute rest between sets</t>
      </text>
    </comment>
    <comment authorId="0" ref="H103">
      <text>
        <t xml:space="preserve">1 minute rest between sets</t>
      </text>
    </comment>
    <comment authorId="0" ref="H110">
      <text>
        <t xml:space="preserve">5 easy steps to finding your max. 
1.) Do the first two warm up sets recommended. 
2.) Jump to a weight you are comfident you can achieve but feel you will be challenged to complete the recommended reps. 
3. Increase the weight each set after according to what you feel you will be able to accomplish.
4. Your max is the final weight you were able to get the full rep amount with. 
5. Log your final max in the Green insert max box.  Then go to the next work out.</t>
      </text>
    </comment>
    <comment authorId="0" ref="A153">
      <text>
        <t xml:space="preserve">5 easy steps to finding your max. 
1.) Do the first two warm up sets recommended. 
2.) Jump to a weight you are comfident you can achieve but feel you will be challenged to complete the recommended reps. 
3. Increase the weight each set after according to what you feel you will be able to accomplish.
4. Your max is the final weight you were able to get the full rep amount with. 
5. Log your final max in the Green insert max box.  Then go to the next work out.</t>
      </text>
    </comment>
    <comment authorId="0" ref="H153">
      <text>
        <t xml:space="preserve">5 easy steps to finding your max. 
1.) Do the first two warm up sets recommended. 
2.) Jump to a weight you are comfident you can achieve but feel you will be challenged to complete the recommended reps. 
3. Increase the weight each set after according to what you feel you will be able to accomplish.
4. Your max is the final weight you were able to get the full rep amount with. 
5. Log your final max in the Green insert max box.  Then go to the next work out.</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8">
      <text>
        <t xml:space="preserve">Do not max on bench without someone to spot. It can be dangerous to bench press alone. </t>
      </text>
    </comment>
    <comment authorId="0" ref="O18">
      <text>
        <t xml:space="preserve">Do not max on bench without someone to spot. It can be dangerous to bench press alone. </t>
      </text>
    </comment>
    <comment authorId="0" ref="A111">
      <text>
        <t xml:space="preserve">Breaking up the reps will not count as a max. How many reps you will be able to do consecutively determines your max. The more fatigued your legs get as you increase in weight, take more rest between sets. Max Rest should be 2 min. Min Rest 1 minute.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5">
      <text>
        <t xml:space="preserve">1 minute rest between sets</t>
      </text>
    </comment>
    <comment authorId="0" ref="A103">
      <text>
        <t xml:space="preserve">1 minute rest between sets</t>
      </text>
    </comment>
    <comment authorId="0" ref="H103">
      <text>
        <t xml:space="preserve">1 minute rest between sets</t>
      </text>
    </comment>
    <comment authorId="0" ref="H110">
      <text>
        <t xml:space="preserve">5 easy steps to finding your max. 
1.) Do the first two warm up sets recommended. 
2.) Jump to a weight you are comfident you can achieve but feel you will be challenged to complete the recommended reps. 
3. Increase the weight each set after according to what you feel you will be able to accomplish.
4. Your max is the final weight you were able to get the full rep amount with. 
5. Log your final max in the Green insert max box.  Then go to the next work out.</t>
      </text>
    </comment>
    <comment authorId="0" ref="A153">
      <text>
        <t xml:space="preserve">5 easy steps to finding your max. 
1.) Do the first two warm up sets recommended. 
2.) Jump to a weight you are comfident you can achieve but feel you will be challenged to complete the recommended reps. 
3. Increase the weight each set after according to what you feel you will be able to accomplish.
4. Your max is the final weight you were able to get the full rep amount with. 
5. Log your final max in the Green insert max box.  Then go to the next work out.</t>
      </text>
    </comment>
    <comment authorId="0" ref="H153">
      <text>
        <t xml:space="preserve">5 easy steps to finding your max. 
1.) Do the first two warm up sets recommended. 
2.) Jump to a weight you are comfident you can achieve but feel you will be challenged to complete the recommended reps. 
3. Increase the weight each set after according to what you feel you will be able to accomplish.
4. Your max is the final weight you were able to get the full rep amount with. 
5. Log your final max in the Green insert max box.  Then go to the next work out.</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53">
      <text>
        <t xml:space="preserve">5 easy steps to finding your max. 
1.) Do the first two warm up sets recommended. 
2.) Jump to a weight you are comfident you can achieve but feel you will be challenged to complete the recommended reps. 
3. Increase the weight each set after according to what you feel you will be able to accomplish.
4. Your max is the final weight you were able to get the full rep amount with. 
5. Log your final max in the Green insert max box.  Then go to the next work out.</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23">
      <text>
        <t xml:space="preserve">1 minute rest between sets</t>
      </text>
    </comment>
    <comment authorId="0" ref="A153">
      <text>
        <t xml:space="preserve">5 easy steps to finding your max. 
1.) Do the first two warm up sets recommended. 
2.) Jump to a weight you are comfident you can achieve but feel you will be challenged to complete the recommended reps. 
3. Increase the weight each set after according to what you feel you will be able to accomplish.
4. Your max is the final weight you were able to get the full rep amount with. 
5. Log your final max in the Green insert max box.  Then go to the next work out.</t>
      </text>
    </comment>
    <comment authorId="0" ref="H153">
      <text>
        <t xml:space="preserve">5 easy steps to finding your max. 
1.) Do the first two warm up sets recommended. 
2.) Jump to a weight you are comfident you can achieve but feel you will be challenged to complete the recommended reps. 
3. Increase the weight each set after according to what you feel you will be able to accomplish.
4. Your max is the final weight you were able to get the full rep amount with. 
5. Log your final max in the Green insert max box.  Then go to the next work out.</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23">
      <text>
        <t xml:space="preserve">1 minute rest between sets</t>
      </text>
    </comment>
    <comment authorId="0" ref="H153">
      <text>
        <t xml:space="preserve">5 easy steps to finding your max. 
1.) Do the first two warm up sets recommended. 
2.) Jump to a weight you are comfident you can achieve but feel you will be challenged to complete the recommended reps. 
3. Increase the weight each set after according to what you feel you will be able to accomplish.
4. Your max is the final weight you were able to get the full rep amount with. 
5. Log your final max in the Green insert max box.  Then go to the next work out.</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4">
      <text>
        <t xml:space="preserve">5 easy steps to finding your max. 
1.) Do the first two warm up sets recommended. 
2.) Jump to a weight you are comfident you can achieve but feel you will be challenged to complete the recommended reps. 
3. Increase the weight each set after according to what you feel you will be able to accomplish.
4. Your max is the final weight you were able to get the full rep amount with. 
5. Log your final max in the Green insert max box.  Then go to the next work out.</t>
      </text>
    </comment>
    <comment authorId="0" ref="A117">
      <text>
        <t xml:space="preserve">1 minute rest between sets</t>
      </text>
    </comment>
    <comment authorId="0" ref="H117">
      <text>
        <t xml:space="preserve">1 minute rest between sets</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4">
      <text>
        <t xml:space="preserve">5 easy steps to finding your max. 
1.) Do the first two warm up sets recommended. 
2.) Jump to a weight you are comfident you can achieve but feel you will be challenged to complete the recommended reps. 
3. Increase the weight each set after according to what you feel you will be able to accomplish.
4. Your max is the final weight you were able to get the full rep amount with. 
5. Log your final max in the Green insert max box.  Then go to the next work out.</t>
      </text>
    </comment>
    <comment authorId="0" ref="A139">
      <text>
        <t xml:space="preserve">5 easy steps to finding your max. 
1.) Do the first two warm up sets recommended. 
2.) Jump to a weight you are comfident you can achieve but feel you will be challenged to complete the recommended reps. 
3. Increase the weight each set after according to what you feel you will be able to accomplish.
4. Your max is the final weight you were able to get the full rep amount with. 
5. Log your final max in the Green insert max box.  Then go to the next work out.</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5">
      <text>
        <t xml:space="preserve">1 minute rest between sets</t>
      </text>
    </comment>
    <comment authorId="0" ref="H95">
      <text>
        <t xml:space="preserve">1 minute rest between sets</t>
      </text>
    </comment>
    <comment authorId="0" ref="A104">
      <text>
        <t xml:space="preserve">5 easy steps to finding your max. 
1.) Do the first two warm up sets recommended. 
2.) Jump to a weight you are comfident you can achieve but feel you will be challenged to complete the recommended reps. 
3. Increase the weight each set after according to what you feel you will be able to accomplish.
4. Your max is the final weight you were able to get the full rep amount with. 
5. Log your final max in the Green insert max box.  Then go to the next work out.</t>
      </text>
    </comment>
  </commentList>
</comments>
</file>

<file path=xl/sharedStrings.xml><?xml version="1.0" encoding="utf-8"?>
<sst xmlns="http://schemas.openxmlformats.org/spreadsheetml/2006/main" count="2516" uniqueCount="141">
  <si>
    <t>PRE WORKOUT 1</t>
  </si>
  <si>
    <t>Laying the Foundation</t>
  </si>
  <si>
    <t xml:space="preserve">This week we are going to get your body used to being in the gym. It is imperative that you keep the weight VERY light. No need to push yourself hard at all. Let's warm your body into the process of lifting again and pay close attention to how you recover. </t>
  </si>
  <si>
    <t xml:space="preserve">QUICK TIPS </t>
  </si>
  <si>
    <r>
      <rPr>
        <rFont val="Arial"/>
        <color rgb="FF000000"/>
        <sz val="26.0"/>
      </rPr>
      <t xml:space="preserve">IF IT'S </t>
    </r>
    <r>
      <rPr>
        <rFont val="Arial"/>
        <color rgb="FF00FF00"/>
        <sz val="26.0"/>
      </rPr>
      <t>GREEN</t>
    </r>
    <r>
      <rPr>
        <rFont val="Arial"/>
        <color rgb="FF000000"/>
        <sz val="26.0"/>
      </rPr>
      <t>=NEEDS YOUR INPUT</t>
    </r>
  </si>
  <si>
    <r>
      <rPr>
        <rFont val="arial,sans,sans-serif"/>
        <color theme="1"/>
        <sz val="17.0"/>
      </rPr>
      <t xml:space="preserve">Click The </t>
    </r>
    <r>
      <rPr>
        <rFont val="arial,sans,sans-serif"/>
        <b/>
        <color rgb="FF1155CC"/>
        <sz val="17.0"/>
      </rPr>
      <t>Title of The workout</t>
    </r>
    <r>
      <rPr>
        <rFont val="arial,sans,sans-serif"/>
        <color theme="1"/>
        <sz val="17.0"/>
      </rPr>
      <t xml:space="preserve"> to see an Instructional Video</t>
    </r>
  </si>
  <si>
    <t>REMEMBER TO ROUND OUR SUGGESTED WEIGHTS TO YOUR GYM'S CLOSEST AVAILABLE WEIGHTS.</t>
  </si>
  <si>
    <t>BEGIN WORKOUT</t>
  </si>
  <si>
    <t>INSERT BODY WEIGHT</t>
  </si>
  <si>
    <t xml:space="preserve"> </t>
  </si>
  <si>
    <t>Beginner</t>
  </si>
  <si>
    <t>Moderate</t>
  </si>
  <si>
    <t>(Over 1 month since I've worked out)</t>
  </si>
  <si>
    <t>Less than a month since weight training</t>
  </si>
  <si>
    <t>x</t>
  </si>
  <si>
    <t xml:space="preserve">DAY 1 </t>
  </si>
  <si>
    <t xml:space="preserve">CHEST &amp; BACK </t>
  </si>
  <si>
    <t>SUGGESTED WEIGHT</t>
  </si>
  <si>
    <t>SET</t>
  </si>
  <si>
    <t>WEIGHT</t>
  </si>
  <si>
    <t>REPS</t>
  </si>
  <si>
    <t>REST</t>
  </si>
  <si>
    <t>PREVIOUS</t>
  </si>
  <si>
    <t>REP LOG</t>
  </si>
  <si>
    <t xml:space="preserve">10 - 12 </t>
  </si>
  <si>
    <t>1 MIN</t>
  </si>
  <si>
    <t>1MIN</t>
  </si>
  <si>
    <t>DAY 2</t>
  </si>
  <si>
    <t>CHEST, BACK &amp; LEGS</t>
  </si>
  <si>
    <t>10 - 15</t>
  </si>
  <si>
    <t>DAY 3</t>
  </si>
  <si>
    <t xml:space="preserve">LEGS,CHEST &amp; BACK </t>
  </si>
  <si>
    <t>15 - 20</t>
  </si>
  <si>
    <t>REP OUT</t>
  </si>
  <si>
    <t>WEEK COMPLETE!</t>
  </si>
  <si>
    <t>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t>
  </si>
  <si>
    <t>PRE WORKOUT 2</t>
  </si>
  <si>
    <t>This Weeks Goals</t>
  </si>
  <si>
    <t xml:space="preserve">This week we are going to continue to get your body used to being back in the gym. There should be still be little to no strain since we are adding weight but we still want to keep it light. We'll be introducing a few new excersizes during this week as well. Push yourself, but not too hard. </t>
  </si>
  <si>
    <r>
      <rPr>
        <rFont val="Arial"/>
        <color rgb="FF000000"/>
        <sz val="26.0"/>
      </rPr>
      <t xml:space="preserve">IF IT'S </t>
    </r>
    <r>
      <rPr>
        <rFont val="Arial"/>
        <color rgb="FF00FF00"/>
        <sz val="26.0"/>
      </rPr>
      <t>GREEN</t>
    </r>
    <r>
      <rPr>
        <rFont val="Arial"/>
        <color rgb="FF000000"/>
        <sz val="26.0"/>
      </rPr>
      <t>=NEEDS YOUR INPUT</t>
    </r>
  </si>
  <si>
    <r>
      <rPr>
        <rFont val="arial,sans,sans-serif"/>
        <color theme="1"/>
        <sz val="17.0"/>
      </rPr>
      <t xml:space="preserve">Click The </t>
    </r>
    <r>
      <rPr>
        <rFont val="arial,sans,sans-serif"/>
        <b/>
        <color rgb="FF1155CC"/>
        <sz val="17.0"/>
      </rPr>
      <t>Title of The workout</t>
    </r>
    <r>
      <rPr>
        <rFont val="arial,sans,sans-serif"/>
        <color theme="1"/>
        <sz val="17.0"/>
      </rPr>
      <t xml:space="preserve"> to see an Instructional Video</t>
    </r>
  </si>
  <si>
    <t xml:space="preserve">10 - 15 </t>
  </si>
  <si>
    <t>SHOULDERS, ARMS &amp; LEGS</t>
  </si>
  <si>
    <t>15 - 30</t>
  </si>
  <si>
    <t>WEEK 1</t>
  </si>
  <si>
    <t>DAY 1</t>
  </si>
  <si>
    <r>
      <rPr>
        <rFont val="Arial"/>
        <color rgb="FF000000"/>
        <sz val="27.0"/>
      </rPr>
      <t xml:space="preserve">You only Log What's in </t>
    </r>
    <r>
      <rPr>
        <rFont val="Arial"/>
        <color rgb="FF00FF00"/>
        <sz val="27.0"/>
      </rPr>
      <t>GREEN</t>
    </r>
  </si>
  <si>
    <t>CHEST &amp; BACK</t>
  </si>
  <si>
    <r>
      <rPr>
        <rFont val="arial,sans,sans-serif"/>
        <color theme="1"/>
        <sz val="17.0"/>
      </rPr>
      <t xml:space="preserve">Click The </t>
    </r>
    <r>
      <rPr>
        <rFont val="arial,sans,sans-serif"/>
        <b/>
        <color rgb="FF1155CC"/>
        <sz val="17.0"/>
      </rPr>
      <t>Title of The workout</t>
    </r>
    <r>
      <rPr>
        <rFont val="arial,sans,sans-serif"/>
        <color theme="1"/>
        <sz val="17.0"/>
      </rPr>
      <t xml:space="preserve"> to see an Instructional Video</t>
    </r>
  </si>
  <si>
    <t>swipe right for quick tips</t>
  </si>
  <si>
    <t xml:space="preserve">Today is all about setting the proper foundation for your future workouts. All we want to do is establish maximum strenght levels for some target muscle groups. It is important to keep great form as well as  being honest in your logging. </t>
  </si>
  <si>
    <t>READ BEFORE WORKING OUT</t>
  </si>
  <si>
    <t xml:space="preserve">All of the workouts are meant to start off with a light weight to establish form and blood flow.  If your 2nd set feels very light, you should jump to one of the recommended sets with a weight you feel will be moderate for you. Then from there work the consecutive sets toward your max then log it in the bright green box. </t>
  </si>
  <si>
    <t>1. BENCH PRESS</t>
  </si>
  <si>
    <t>1. MACHINE PRESS</t>
  </si>
  <si>
    <t>2 MIN</t>
  </si>
  <si>
    <t>INSERT FINAL MAX</t>
  </si>
  <si>
    <t>Set</t>
  </si>
  <si>
    <t>Weight</t>
  </si>
  <si>
    <t>Reps</t>
  </si>
  <si>
    <t>Set1</t>
  </si>
  <si>
    <t>Set 2</t>
  </si>
  <si>
    <t>Set 3</t>
  </si>
  <si>
    <t>Set 4</t>
  </si>
  <si>
    <t>Set 5</t>
  </si>
  <si>
    <t>Set 6</t>
  </si>
  <si>
    <t>Set 7</t>
  </si>
  <si>
    <t>Set 8</t>
  </si>
  <si>
    <t>Set 9</t>
  </si>
  <si>
    <t>Set 10</t>
  </si>
  <si>
    <t>Set 11</t>
  </si>
  <si>
    <t>Legs</t>
  </si>
  <si>
    <t>Set 1</t>
  </si>
  <si>
    <t>Each set should be done with 10 reps consecutively. Breaking up the reps will not count as a set to record your max. The more fatigued your legs get as you increase in weight, take more rest. Max Rest should be 2 min. Min Rest 1 minute.</t>
  </si>
  <si>
    <t>Shoulders &amp; Arms</t>
  </si>
  <si>
    <t>Set 12</t>
  </si>
  <si>
    <t>Set 13</t>
  </si>
  <si>
    <t>Set 14</t>
  </si>
  <si>
    <t>Set 15</t>
  </si>
  <si>
    <t>Set 16</t>
  </si>
  <si>
    <t>Set 17</t>
  </si>
  <si>
    <t>Week 1</t>
  </si>
  <si>
    <r>
      <rPr>
        <rFont val="Arial"/>
        <color rgb="FF000000"/>
        <sz val="27.0"/>
      </rPr>
      <t xml:space="preserve">You only Log What's in </t>
    </r>
    <r>
      <rPr>
        <rFont val="Arial"/>
        <color rgb="FF00FF00"/>
        <sz val="27.0"/>
      </rPr>
      <t>GREEN</t>
    </r>
  </si>
  <si>
    <r>
      <rPr>
        <rFont val="arial,sans,sans-serif"/>
        <color theme="1"/>
        <sz val="17.0"/>
      </rPr>
      <t xml:space="preserve">Click The </t>
    </r>
    <r>
      <rPr>
        <rFont val="arial,sans,sans-serif"/>
        <b/>
        <color rgb="FF1155CC"/>
        <sz val="17.0"/>
      </rPr>
      <t>Title of The workout</t>
    </r>
    <r>
      <rPr>
        <rFont val="arial,sans,sans-serif"/>
        <color theme="1"/>
        <sz val="17.0"/>
      </rPr>
      <t xml:space="preserve"> to see an Instructional Video</t>
    </r>
  </si>
  <si>
    <t xml:space="preserve">This week we are going to jump you into a workout. As the weeks go on we will refine your workout more and it will become more targeted. Give it all you got and push to your limits everytime. </t>
  </si>
  <si>
    <t>ALTERNATE WORKOUTS</t>
  </si>
  <si>
    <t>CURRENT MAX</t>
  </si>
  <si>
    <t>30s</t>
  </si>
  <si>
    <t>1-2 MIN</t>
  </si>
  <si>
    <t>1-5 MIN</t>
  </si>
  <si>
    <t>ALTERNATE</t>
  </si>
  <si>
    <t>FINAL MAX</t>
  </si>
  <si>
    <t>DBL INC MAX</t>
  </si>
  <si>
    <t>1 - 2 MIN</t>
  </si>
  <si>
    <t>1-3 MIN</t>
  </si>
  <si>
    <t xml:space="preserve">DAY 2 </t>
  </si>
  <si>
    <t>LEGS</t>
  </si>
  <si>
    <t>BODY</t>
  </si>
  <si>
    <t>SHOULDERS &amp; ARMS</t>
  </si>
  <si>
    <t>INSERT MAX</t>
  </si>
  <si>
    <t>DOWN SETS</t>
  </si>
  <si>
    <t>SHLDR PRSS MAX</t>
  </si>
  <si>
    <t>WORKOUT COMPLETE!</t>
  </si>
  <si>
    <r>
      <rPr>
        <rFont val="Arial"/>
        <color rgb="FF000000"/>
        <sz val="27.0"/>
      </rPr>
      <t xml:space="preserve">You only Log What's in </t>
    </r>
    <r>
      <rPr>
        <rFont val="Arial"/>
        <color rgb="FF00FF00"/>
        <sz val="27.0"/>
      </rPr>
      <t>GREEN</t>
    </r>
  </si>
  <si>
    <r>
      <rPr>
        <rFont val="arial,sans,sans-serif"/>
        <color theme="1"/>
        <sz val="17.0"/>
      </rPr>
      <t xml:space="preserve">Click The </t>
    </r>
    <r>
      <rPr>
        <rFont val="arial,sans,sans-serif"/>
        <b/>
        <color rgb="FF1155CC"/>
        <sz val="17.0"/>
      </rPr>
      <t>Title of The workout</t>
    </r>
    <r>
      <rPr>
        <rFont val="arial,sans,sans-serif"/>
        <color theme="1"/>
        <sz val="17.0"/>
      </rPr>
      <t xml:space="preserve"> to see an Instructional Video</t>
    </r>
  </si>
  <si>
    <r>
      <rPr>
        <rFont val="Arial"/>
        <color rgb="FF000000"/>
        <sz val="27.0"/>
      </rPr>
      <t xml:space="preserve">You only Log What's in </t>
    </r>
    <r>
      <rPr>
        <rFont val="Arial"/>
        <color rgb="FF00FF00"/>
        <sz val="27.0"/>
      </rPr>
      <t>GREEN</t>
    </r>
  </si>
  <si>
    <r>
      <rPr>
        <rFont val="arial,sans,sans-serif"/>
        <color theme="1"/>
        <sz val="17.0"/>
      </rPr>
      <t xml:space="preserve">Click The </t>
    </r>
    <r>
      <rPr>
        <rFont val="arial,sans,sans-serif"/>
        <b/>
        <color rgb="FF1155CC"/>
        <sz val="17.0"/>
      </rPr>
      <t>Title of The workout</t>
    </r>
    <r>
      <rPr>
        <rFont val="arial,sans,sans-serif"/>
        <color theme="1"/>
        <sz val="17.0"/>
      </rPr>
      <t xml:space="preserve"> to see an Instructional Video</t>
    </r>
  </si>
  <si>
    <r>
      <rPr>
        <rFont val="Arial"/>
        <color rgb="FF000000"/>
        <sz val="26.0"/>
      </rPr>
      <t xml:space="preserve">IF IT'S </t>
    </r>
    <r>
      <rPr>
        <rFont val="Arial"/>
        <color rgb="FF00FF00"/>
        <sz val="26.0"/>
      </rPr>
      <t>GREEN</t>
    </r>
    <r>
      <rPr>
        <rFont val="Arial"/>
        <color rgb="FF000000"/>
        <sz val="26.0"/>
      </rPr>
      <t>=NEEDS YOUR INPUT</t>
    </r>
  </si>
  <si>
    <r>
      <rPr>
        <rFont val="arial,sans,sans-serif"/>
        <color theme="1"/>
        <sz val="17.0"/>
      </rPr>
      <t xml:space="preserve">Click The </t>
    </r>
    <r>
      <rPr>
        <rFont val="arial,sans,sans-serif"/>
        <b/>
        <color rgb="FF1155CC"/>
        <sz val="17.0"/>
      </rPr>
      <t>Title of The workout</t>
    </r>
    <r>
      <rPr>
        <rFont val="arial,sans,sans-serif"/>
        <color theme="1"/>
        <sz val="17.0"/>
      </rPr>
      <t xml:space="preserve"> to see an Instructional Video</t>
    </r>
  </si>
  <si>
    <t>SWIPE RIGHT FOR QUICK TIPS</t>
  </si>
  <si>
    <r>
      <rPr>
        <rFont val="Arial"/>
        <color rgb="FF000000"/>
        <sz val="26.0"/>
      </rPr>
      <t xml:space="preserve">IF IT'S </t>
    </r>
    <r>
      <rPr>
        <rFont val="Arial"/>
        <color rgb="FF00FF00"/>
        <sz val="26.0"/>
      </rPr>
      <t>GREEN</t>
    </r>
    <r>
      <rPr>
        <rFont val="Arial"/>
        <color rgb="FF000000"/>
        <sz val="26.0"/>
      </rPr>
      <t>=NEEDS YOUR INPUT</t>
    </r>
  </si>
  <si>
    <r>
      <rPr>
        <rFont val="arial,sans,sans-serif"/>
        <color theme="1"/>
        <sz val="17.0"/>
      </rPr>
      <t xml:space="preserve">Click The </t>
    </r>
    <r>
      <rPr>
        <rFont val="arial,sans,sans-serif"/>
        <b/>
        <color rgb="FF1155CC"/>
        <sz val="17.0"/>
      </rPr>
      <t>Title of The workout</t>
    </r>
    <r>
      <rPr>
        <rFont val="arial,sans,sans-serif"/>
        <color theme="1"/>
        <sz val="17.0"/>
      </rPr>
      <t xml:space="preserve"> to see an Instructional Video</t>
    </r>
  </si>
  <si>
    <t>Week 2</t>
  </si>
  <si>
    <t>This week we are going to continue to attemp new maxes in some areas as well as go for max repititions in others. Be sure to push your hardest and keep good form.</t>
  </si>
  <si>
    <t>DB INCLINE MAX</t>
  </si>
  <si>
    <t>10 - 20</t>
  </si>
  <si>
    <t>SHLDR PRESS MAX</t>
  </si>
  <si>
    <t>1 - MIN</t>
  </si>
  <si>
    <t>HOW TO MAX PROPERLY</t>
  </si>
  <si>
    <t>Week 3</t>
  </si>
  <si>
    <t xml:space="preserve">This is what we call percentage week. For the most part we are going to work your body just under it's maximum potential and go for more repititions. There are however a few areas that are excluded from this principle but the general theme of the week is working under your max. </t>
  </si>
  <si>
    <t>30 sec</t>
  </si>
  <si>
    <t>45 sec</t>
  </si>
  <si>
    <t>Working Set</t>
  </si>
  <si>
    <t>DB INCL MAX</t>
  </si>
  <si>
    <t xml:space="preserve">LEGS </t>
  </si>
  <si>
    <t>TRI PSH DWN MAX</t>
  </si>
  <si>
    <r>
      <rPr>
        <rFont val="Arial"/>
        <color rgb="FF000000"/>
        <sz val="26.0"/>
      </rPr>
      <t xml:space="preserve">IF IT'S </t>
    </r>
    <r>
      <rPr>
        <rFont val="Arial"/>
        <color rgb="FF00FF00"/>
        <sz val="26.0"/>
      </rPr>
      <t>GREEN</t>
    </r>
    <r>
      <rPr>
        <rFont val="Arial"/>
        <color rgb="FF000000"/>
        <sz val="26.0"/>
      </rPr>
      <t>=NEEDS YOUR INPUT</t>
    </r>
  </si>
  <si>
    <r>
      <rPr>
        <rFont val="arial,sans,sans-serif"/>
        <color theme="1"/>
        <sz val="17.0"/>
      </rPr>
      <t xml:space="preserve">Click The </t>
    </r>
    <r>
      <rPr>
        <rFont val="arial,sans,sans-serif"/>
        <b/>
        <color rgb="FF1155CC"/>
        <sz val="17.0"/>
      </rPr>
      <t>Title of The workout</t>
    </r>
    <r>
      <rPr>
        <rFont val="arial,sans,sans-serif"/>
        <color theme="1"/>
        <sz val="17.0"/>
      </rPr>
      <t xml:space="preserve"> to see an Instructional Video</t>
    </r>
  </si>
  <si>
    <t>Chest &amp; Back</t>
  </si>
  <si>
    <t>Week 4</t>
  </si>
  <si>
    <t xml:space="preserve">Week 4 is going to be a mixture of attempting new maxes as well as high repititions during some of your workouts. Make sure to keep form and don't give up too soon. Push Push Push! </t>
  </si>
  <si>
    <t>NEW 1 REP MAX ATTEMPT</t>
  </si>
  <si>
    <t>1 - 3 MIN</t>
  </si>
  <si>
    <t>Rep Out</t>
  </si>
  <si>
    <t>1 Min</t>
  </si>
  <si>
    <t>2. MACHINE SQUAT</t>
  </si>
  <si>
    <t>5 - 15</t>
  </si>
  <si>
    <t>5 -15</t>
  </si>
  <si>
    <r>
      <rPr>
        <rFont val="Arial"/>
        <color rgb="FF000000"/>
        <sz val="26.0"/>
      </rPr>
      <t xml:space="preserve">IF IT'S </t>
    </r>
    <r>
      <rPr>
        <rFont val="Arial"/>
        <color rgb="FF00FF00"/>
        <sz val="26.0"/>
      </rPr>
      <t>GREEN</t>
    </r>
    <r>
      <rPr>
        <rFont val="Arial"/>
        <color rgb="FF000000"/>
        <sz val="26.0"/>
      </rPr>
      <t>=NEEDS YOUR INPUT</t>
    </r>
  </si>
  <si>
    <r>
      <rPr>
        <rFont val="arial,sans,sans-serif"/>
        <color theme="1"/>
        <sz val="17.0"/>
      </rPr>
      <t xml:space="preserve">Click The </t>
    </r>
    <r>
      <rPr>
        <rFont val="arial,sans,sans-serif"/>
        <b/>
        <color rgb="FF1155CC"/>
        <sz val="17.0"/>
      </rPr>
      <t>Title of The workout</t>
    </r>
    <r>
      <rPr>
        <rFont val="arial,sans,sans-serif"/>
        <color theme="1"/>
        <sz val="17.0"/>
      </rPr>
      <t xml:space="preserve"> to see an Instructional Video</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</si>
</sst>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44">
    <font>
      <sz val="10.0"/>
      <color rgb="FF000000"/>
      <name val="Arial"/>
      <scheme val="minor"/>
    </font>
    <font>
      <color theme="1"/>
      <name val="Arial"/>
      <scheme val="minor"/>
    </font>
    <font/>
    <font>
      <b/>
      <sz val="36.0"/>
      <color theme="1"/>
      <name val="Arial"/>
    </font>
    <font>
      <b/>
      <u/>
      <sz val="21.0"/>
      <color rgb="FFFFFFFF"/>
      <name val="Arial"/>
    </font>
    <font>
      <b/>
      <sz val="24.0"/>
      <color rgb="FF000000"/>
      <name val="Arial"/>
    </font>
    <font>
      <sz val="18.0"/>
      <color theme="1"/>
      <name val="Arial"/>
    </font>
    <font>
      <sz val="35.0"/>
      <color theme="1"/>
      <name val="Arial"/>
    </font>
    <font>
      <sz val="26.0"/>
      <color rgb="FF000000"/>
      <name val="Arial"/>
    </font>
    <font>
      <sz val="17.0"/>
      <color theme="1"/>
      <name val="Arial"/>
    </font>
    <font>
      <sz val="20.0"/>
      <color theme="1"/>
      <name val="Arial"/>
    </font>
    <font>
      <b/>
      <sz val="14.0"/>
      <color theme="1"/>
      <name val="Arial"/>
    </font>
    <font>
      <b/>
      <sz val="36.0"/>
      <color rgb="FFFFFFFF"/>
      <name val="Arial"/>
    </font>
    <font>
      <b/>
      <sz val="12.0"/>
      <color rgb="FF000000"/>
      <name val="Arial"/>
    </font>
    <font>
      <b/>
      <sz val="36.0"/>
      <color rgb="FF000000"/>
      <name val="Arial"/>
    </font>
    <font>
      <b/>
      <sz val="16.0"/>
      <color theme="1"/>
      <name val="Arial"/>
    </font>
    <font>
      <b/>
      <sz val="24.0"/>
      <color theme="1"/>
      <name val="Arial"/>
    </font>
    <font>
      <sz val="9.0"/>
      <color rgb="FF000000"/>
      <name val="Arial"/>
    </font>
    <font>
      <sz val="9.0"/>
      <color theme="1"/>
      <name val="Arial"/>
    </font>
    <font>
      <sz val="24.0"/>
      <color rgb="FF000000"/>
      <name val="Arial"/>
    </font>
    <font>
      <sz val="24.0"/>
      <color theme="1"/>
      <name val="Arial"/>
    </font>
    <font>
      <b/>
      <u/>
      <sz val="36.0"/>
      <color rgb="FFFFFFFF"/>
    </font>
    <font>
      <b/>
      <sz val="11.0"/>
      <color theme="1"/>
      <name val="Arial"/>
    </font>
    <font>
      <b/>
      <sz val="21.0"/>
      <color theme="1"/>
      <name val="Arial"/>
    </font>
    <font>
      <sz val="21.0"/>
      <color theme="1"/>
      <name val="Arial"/>
    </font>
    <font>
      <b/>
      <i/>
      <sz val="21.0"/>
      <color rgb="FFFF0000"/>
      <name val="Arial"/>
    </font>
    <font>
      <b/>
      <u/>
      <sz val="36.0"/>
      <color rgb="FFFFFFFF"/>
      <name val="Arial"/>
    </font>
    <font>
      <b/>
      <u/>
      <sz val="36.0"/>
      <color rgb="FFFFFFFF"/>
      <name val="Arial"/>
    </font>
    <font>
      <b/>
      <sz val="35.0"/>
      <color theme="1"/>
      <name val="Arial"/>
    </font>
    <font>
      <b/>
      <sz val="14.0"/>
      <color rgb="FF000000"/>
      <name val="Arial"/>
    </font>
    <font>
      <sz val="21.0"/>
      <color theme="1"/>
      <name val="Arial"/>
      <scheme val="minor"/>
    </font>
    <font>
      <i/>
      <sz val="21.0"/>
      <color rgb="FFFF0000"/>
      <name val="Arial"/>
    </font>
    <font>
      <color theme="1"/>
      <name val="Arial"/>
    </font>
    <font>
      <sz val="16.0"/>
      <color theme="1"/>
      <name val="Arial"/>
    </font>
    <font>
      <sz val="36.0"/>
      <color rgb="FF000000"/>
      <name val="Arial"/>
    </font>
    <font>
      <b/>
      <u/>
      <sz val="24.0"/>
      <color rgb="FF000000"/>
    </font>
    <font>
      <b/>
      <sz val="24.0"/>
      <color rgb="FF000000"/>
      <name val="Arial"/>
      <scheme val="minor"/>
    </font>
    <font>
      <sz val="12.0"/>
      <color rgb="FF393F44"/>
      <name val="Arial"/>
    </font>
    <font>
      <b/>
      <u/>
      <sz val="36.0"/>
      <color rgb="FFFFFFFF"/>
      <name val="Arial"/>
    </font>
    <font>
      <sz val="27.0"/>
      <color rgb="FF000000"/>
      <name val="Arial"/>
    </font>
    <font>
      <b/>
      <i/>
      <sz val="18.0"/>
      <color theme="1"/>
      <name val="Arial"/>
      <scheme val="minor"/>
    </font>
    <font>
      <sz val="12.0"/>
      <color theme="1"/>
      <name val="Arial"/>
    </font>
    <font>
      <b/>
      <sz val="18.0"/>
      <color rgb="FFFF0000"/>
      <name val="Arial"/>
    </font>
    <font>
      <b/>
      <u/>
      <sz val="18.0"/>
      <color rgb="FFFFFFFF"/>
      <name val="Arial"/>
    </font>
    <font>
      <b/>
      <sz val="18.0"/>
      <color rgb="FFFFFFFF"/>
      <name val="Arial"/>
    </font>
    <font>
      <b/>
      <u/>
      <sz val="21.0"/>
      <color rgb="FFFFFFFF"/>
      <name val="Arial"/>
    </font>
    <font>
      <sz val="36.0"/>
      <color theme="1"/>
      <name val="Arial"/>
    </font>
    <font>
      <b/>
      <sz val="21.0"/>
      <color rgb="FF000000"/>
      <name val="Arial"/>
    </font>
    <font>
      <sz val="21.0"/>
      <color rgb="FF000000"/>
      <name val="Arial"/>
    </font>
    <font>
      <b/>
      <u/>
      <sz val="36.0"/>
      <color rgb="FFFFFFFF"/>
      <name val="Arial"/>
    </font>
    <font>
      <b/>
      <u/>
      <sz val="36.0"/>
      <color rgb="FFFFFFFF"/>
      <name val="Arial"/>
    </font>
    <font>
      <b/>
      <sz val="30.0"/>
      <color rgb="FFFFFFFF"/>
      <name val="Arial"/>
    </font>
    <font>
      <b/>
      <sz val="18.0"/>
      <color theme="1"/>
      <name val="Arial"/>
    </font>
    <font>
      <b/>
      <color rgb="FF000000"/>
      <name val="Arial"/>
    </font>
    <font>
      <b/>
      <sz val="24.0"/>
      <color rgb="FFFF0000"/>
      <name val="Arial"/>
    </font>
    <font>
      <b/>
      <u/>
      <sz val="28.0"/>
      <color rgb="FFFFFFFF"/>
      <name val="Arial"/>
    </font>
    <font>
      <b/>
      <u/>
      <sz val="28.0"/>
      <color rgb="FFFFFFFF"/>
      <name val="Arial"/>
    </font>
    <font>
      <b/>
      <u/>
      <sz val="26.0"/>
      <color rgb="FFFFFFFF"/>
      <name val="Arial"/>
    </font>
    <font>
      <b/>
      <u/>
      <sz val="26.0"/>
      <color rgb="FFFFFFFF"/>
      <name val="Arial"/>
    </font>
    <font>
      <b/>
      <i/>
      <sz val="36.0"/>
      <color rgb="FFFF0000"/>
      <name val="Arial"/>
    </font>
    <font>
      <b/>
      <i/>
      <sz val="24.0"/>
      <color rgb="FFFF0000"/>
      <name val="Arial"/>
    </font>
    <font>
      <color rgb="FFFF0000"/>
      <name val="Arial"/>
    </font>
    <font>
      <i/>
      <color rgb="FFFF0000"/>
      <name val="Arial"/>
    </font>
    <font>
      <b/>
      <i/>
      <sz val="18.0"/>
      <color rgb="FFFF0000"/>
      <name val="Arial"/>
    </font>
    <font>
      <b/>
      <u/>
      <sz val="36.0"/>
      <color rgb="FFFFFFFF"/>
      <name val="Arial"/>
    </font>
    <font>
      <sz val="14.0"/>
      <color theme="1"/>
      <name val="Arial"/>
    </font>
    <font>
      <b/>
      <sz val="12.0"/>
      <color theme="1"/>
      <name val="Arial"/>
    </font>
    <font>
      <b/>
      <sz val="14.0"/>
      <color rgb="FF000000"/>
      <name val="Arial"/>
      <scheme val="minor"/>
    </font>
    <font>
      <sz val="16.0"/>
      <color rgb="FF000000"/>
      <name val="Arial"/>
    </font>
    <font>
      <b/>
      <color theme="1"/>
      <name val="Arial"/>
    </font>
    <font>
      <sz val="11.0"/>
      <color theme="1"/>
      <name val="Arial"/>
    </font>
    <font>
      <sz val="18.0"/>
      <color rgb="FF000000"/>
      <name val="Arial"/>
    </font>
    <font>
      <b/>
      <i/>
      <color rgb="FFFF0000"/>
      <name val="Arial"/>
    </font>
    <font>
      <b/>
      <i/>
      <sz val="14.0"/>
      <color rgb="FFFF0000"/>
      <name val="Arial"/>
    </font>
    <font>
      <b/>
      <i/>
      <sz val="12.0"/>
      <color rgb="FFFF0000"/>
      <name val="Arial"/>
    </font>
    <font>
      <i/>
      <sz val="14.0"/>
      <color rgb="FFFF0000"/>
      <name val="Arial"/>
    </font>
    <font>
      <b/>
      <u/>
      <sz val="24.0"/>
      <color rgb="FFFFFFFF"/>
      <name val="Arial"/>
    </font>
    <font>
      <b/>
      <sz val="11.0"/>
      <color rgb="FF000000"/>
      <name val="Arial"/>
    </font>
    <font>
      <b/>
      <i/>
      <sz val="11.0"/>
      <color rgb="FFFF0000"/>
      <name val="Arial"/>
    </font>
    <font>
      <b/>
      <u/>
      <sz val="36.0"/>
      <color rgb="FFFFFFFF"/>
      <name val="Arial"/>
    </font>
    <font>
      <b/>
      <u/>
      <sz val="21.0"/>
      <color rgb="FFFFFFFF"/>
      <name val="Arial"/>
    </font>
    <font>
      <b/>
      <u/>
      <sz val="28.0"/>
      <color rgb="FFFFFFFF"/>
      <name val="Arial"/>
    </font>
    <font>
      <b/>
      <sz val="24.0"/>
      <color rgb="FFFFFFFF"/>
      <name val="Arial"/>
    </font>
    <font>
      <b/>
      <i/>
      <sz val="21.0"/>
      <color rgb="FFFF0000"/>
      <name val="Arial"/>
      <scheme val="minor"/>
    </font>
    <font>
      <b/>
      <sz val="14.0"/>
      <color rgb="FFFFFFFF"/>
      <name val="Arial"/>
    </font>
    <font>
      <b/>
      <sz val="21.0"/>
      <color rgb="FFFFFFFF"/>
      <name val="Arial"/>
    </font>
    <font>
      <b/>
      <sz val="36.0"/>
      <color theme="1"/>
      <name val="Arial"/>
      <scheme val="minor"/>
    </font>
    <font>
      <b/>
      <sz val="21.0"/>
      <color rgb="FFFFFFFF"/>
      <name val="Arial"/>
      <scheme val="minor"/>
    </font>
    <font>
      <b/>
      <sz val="21.0"/>
      <color rgb="FF000000"/>
      <name val="Arial"/>
      <scheme val="minor"/>
    </font>
    <font>
      <sz val="14.0"/>
      <color theme="1"/>
      <name val="Arial"/>
      <scheme val="minor"/>
    </font>
    <font>
      <i/>
      <sz val="21.0"/>
      <color theme="1"/>
      <name val="Arial"/>
      <scheme val="minor"/>
    </font>
    <font>
      <b/>
      <u/>
      <sz val="36.0"/>
      <color rgb="FFFFFFFF"/>
      <name val="Arial"/>
    </font>
    <font>
      <b/>
      <sz val="12.0"/>
      <color theme="1"/>
      <name val="Arial"/>
      <scheme val="minor"/>
    </font>
    <font>
      <b/>
      <sz val="36.0"/>
      <color rgb="FFFFFFFF"/>
      <name val="Arial"/>
      <scheme val="minor"/>
    </font>
    <font>
      <b/>
      <sz val="21.0"/>
      <color theme="1"/>
      <name val="Arial"/>
      <scheme val="minor"/>
    </font>
    <font>
      <sz val="16.0"/>
      <color theme="1"/>
      <name val="Arial"/>
      <scheme val="minor"/>
    </font>
    <font>
      <sz val="18.0"/>
      <color theme="1"/>
      <name val="Arial"/>
      <scheme val="minor"/>
    </font>
    <font>
      <b/>
      <sz val="24.0"/>
      <color theme="1"/>
      <name val="Arial"/>
      <scheme val="minor"/>
    </font>
    <font>
      <b/>
      <sz val="28.0"/>
      <color rgb="FFFFFFFF"/>
      <name val="Arial"/>
    </font>
    <font>
      <b/>
      <sz val="34.0"/>
      <color theme="1"/>
      <name val="Arial"/>
    </font>
    <font>
      <b/>
      <sz val="36.0"/>
      <color rgb="FF000000"/>
      <name val="Arial"/>
      <scheme val="minor"/>
    </font>
    <font>
      <b/>
      <color theme="1"/>
      <name val="Arial"/>
      <scheme val="minor"/>
    </font>
    <font>
      <sz val="11.0"/>
      <color theme="1"/>
      <name val="Arial"/>
      <scheme val="minor"/>
    </font>
    <font>
      <i/>
      <sz val="21.0"/>
      <color rgb="FFFF0000"/>
      <name val="Arial"/>
      <scheme val="minor"/>
    </font>
    <font>
      <b/>
      <sz val="33.0"/>
      <color rgb="FFFFFFFF"/>
      <name val="Arial"/>
    </font>
    <font>
      <b/>
      <sz val="20.0"/>
      <color rgb="FFFFFFFF"/>
      <name val="Arial"/>
    </font>
    <font>
      <b/>
      <u/>
      <sz val="23.0"/>
      <color rgb="FFFFFFFF"/>
      <name val="Arial"/>
    </font>
    <font>
      <b/>
      <u/>
      <sz val="23.0"/>
      <color rgb="FFFFFFFF"/>
      <name val="Arial"/>
    </font>
    <font>
      <b/>
      <u/>
      <sz val="24.0"/>
      <color rgb="FF000000"/>
    </font>
    <font>
      <sz val="11.0"/>
      <color rgb="FF393F44"/>
      <name val="Arial"/>
    </font>
    <font>
      <sz val="10.0"/>
      <color rgb="FF393F44"/>
      <name val="Brandon-grot-w01-light"/>
    </font>
    <font>
      <color rgb="FF393F44"/>
      <name val="Brandon-grot-w01-light"/>
    </font>
    <font>
      <b/>
      <sz val="18.0"/>
      <color theme="1"/>
      <name val="Arial"/>
      <scheme val="minor"/>
    </font>
    <font>
      <b/>
      <i/>
      <sz val="18.0"/>
      <color rgb="FFFF0000"/>
      <name val="Arial"/>
      <scheme val="minor"/>
    </font>
    <font>
      <b/>
      <u/>
      <sz val="36.0"/>
      <color rgb="FFFFFFFF"/>
    </font>
    <font>
      <b/>
      <sz val="36.0"/>
      <color rgb="FFFFFFFF"/>
    </font>
    <font>
      <b/>
      <u/>
      <sz val="24.0"/>
      <color rgb="FFFFFFFF"/>
      <name val="Arial"/>
    </font>
    <font>
      <b/>
      <u/>
      <sz val="36.0"/>
      <color rgb="FFFFFFFF"/>
      <name val="Arial"/>
    </font>
    <font>
      <color rgb="FF000000"/>
      <name val="Arial"/>
      <scheme val="minor"/>
    </font>
    <font>
      <sz val="36.0"/>
      <color rgb="FF000000"/>
      <name val="Arial"/>
      <scheme val="minor"/>
    </font>
    <font>
      <b/>
      <i/>
      <sz val="35.0"/>
      <color rgb="FFFF0000"/>
      <name val="Arial"/>
    </font>
    <font>
      <b/>
      <i/>
      <sz val="24.0"/>
      <color rgb="FFFF0000"/>
      <name val="Arial"/>
      <scheme val="minor"/>
    </font>
    <font>
      <b/>
      <u/>
      <sz val="21.0"/>
      <color rgb="FFFFFFFF"/>
      <name val="Arial"/>
    </font>
    <font>
      <b/>
      <sz val="23.0"/>
      <color theme="1"/>
      <name val="Arial"/>
    </font>
    <font>
      <b/>
      <i/>
      <sz val="23.0"/>
      <color rgb="FFFF0000"/>
      <name val="Arial"/>
    </font>
    <font>
      <b/>
      <i/>
      <sz val="14.0"/>
      <color rgb="FFFF0000"/>
      <name val="Arial"/>
      <scheme val="minor"/>
    </font>
    <font>
      <b/>
      <u/>
      <sz val="36.0"/>
      <color rgb="FFFFFFFF"/>
    </font>
    <font>
      <b/>
      <sz val="10.0"/>
      <color rgb="FF000000"/>
      <name val="Arial"/>
      <scheme val="minor"/>
    </font>
    <font>
      <i/>
      <color rgb="FFFF0000"/>
      <name val="Arial"/>
      <scheme val="minor"/>
    </font>
    <font>
      <sz val="21.0"/>
      <color rgb="FF000000"/>
      <name val="Arial"/>
      <scheme val="minor"/>
    </font>
    <font>
      <b/>
      <sz val="24.0"/>
      <color rgb="FFFFFFFF"/>
      <name val="Arial"/>
      <scheme val="minor"/>
    </font>
    <font>
      <sz val="11.0"/>
      <color rgb="FF000000"/>
      <name val="Inconsolata"/>
    </font>
    <font>
      <i/>
      <sz val="11.0"/>
      <color rgb="FFFF0000"/>
      <name val="Inconsolata"/>
    </font>
    <font>
      <b/>
      <u/>
      <sz val="36.0"/>
      <color rgb="FFFFFFFF"/>
      <name val="Arial"/>
    </font>
    <font>
      <b/>
      <sz val="14.0"/>
      <color rgb="FF434343"/>
      <name val="Arial"/>
    </font>
    <font>
      <sz val="21.0"/>
      <color rgb="FF434343"/>
      <name val="Arial"/>
      <scheme val="minor"/>
    </font>
    <font>
      <b/>
      <u/>
      <sz val="24.0"/>
      <color rgb="FFFFFFFF"/>
      <name val="Arial"/>
    </font>
    <font>
      <b/>
      <u/>
      <sz val="24.0"/>
      <color rgb="FF000000"/>
      <name val="Arial"/>
    </font>
    <font>
      <sz val="10.0"/>
      <color rgb="FF393F44"/>
      <name val="Arial"/>
    </font>
    <font>
      <color rgb="FF393F44"/>
      <name val="Arial"/>
    </font>
    <font>
      <b/>
      <sz val="20.0"/>
      <color rgb="FF000000"/>
      <name val="Arial"/>
    </font>
    <font>
      <sz val="20.0"/>
      <color rgb="FF000000"/>
      <name val="Arial"/>
    </font>
    <font>
      <b/>
      <sz val="20.0"/>
      <color theme="1"/>
      <name val="Arial"/>
    </font>
    <font>
      <sz val="19.0"/>
      <color theme="1"/>
      <name val="Arial"/>
    </font>
  </fonts>
  <fills count="9">
    <fill>
      <patternFill patternType="none"/>
    </fill>
    <fill>
      <patternFill patternType="lightGray"/>
    </fill>
    <fill>
      <patternFill patternType="solid">
        <fgColor rgb="FFFF0000"/>
        <bgColor rgb="FFFF0000"/>
      </patternFill>
    </fill>
    <fill>
      <patternFill patternType="solid">
        <fgColor rgb="FFFFFFFF"/>
        <bgColor rgb="FFFFFFFF"/>
      </patternFill>
    </fill>
    <fill>
      <patternFill patternType="solid">
        <fgColor rgb="FF00FF00"/>
        <bgColor rgb="FF00FF00"/>
      </patternFill>
    </fill>
    <fill>
      <patternFill patternType="solid">
        <fgColor rgb="FF9FC5E8"/>
        <bgColor rgb="FF9FC5E8"/>
      </patternFill>
    </fill>
    <fill>
      <patternFill patternType="solid">
        <fgColor rgb="FF1155CC"/>
        <bgColor rgb="FF1155CC"/>
      </patternFill>
    </fill>
    <fill>
      <patternFill patternType="solid">
        <fgColor rgb="FF00FFFF"/>
        <bgColor rgb="FF00FFFF"/>
      </patternFill>
    </fill>
    <fill>
      <patternFill patternType="solid">
        <fgColor rgb="FFCFE2F3"/>
        <bgColor rgb="FFCFE2F3"/>
      </patternFill>
    </fill>
  </fills>
  <borders count="62">
    <border/>
    <border>
      <bottom style="thick">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right style="thick">
        <color rgb="FF000000"/>
      </right>
      <bottom style="thick">
        <color rgb="FF000000"/>
      </bottom>
    </border>
    <border>
      <left style="thick">
        <color rgb="FF000000"/>
      </left>
      <top style="thin">
        <color rgb="FF000000"/>
      </top>
      <bottom style="thick">
        <color rgb="FF000000"/>
      </bottom>
    </border>
    <border>
      <top style="thin">
        <color rgb="FF000000"/>
      </top>
      <bottom style="thick">
        <color rgb="FF000000"/>
      </bottom>
    </border>
    <border>
      <right style="thick">
        <color rgb="FF000000"/>
      </right>
      <top style="thin">
        <color rgb="FF000000"/>
      </top>
      <bottom style="thick">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right style="thin">
        <color rgb="FF000000"/>
      </right>
    </border>
    <border>
      <left style="thick">
        <color rgb="FF000000"/>
      </left>
      <top style="thick">
        <color rgb="FF000000"/>
      </top>
      <bottom style="thin">
        <color rgb="FF000000"/>
      </bottom>
    </border>
    <border>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right style="thick">
        <color rgb="FF000000"/>
      </right>
      <bottom style="thin">
        <color rgb="FF000000"/>
      </bottom>
    </border>
    <border>
      <left style="thick">
        <color rgb="FF000000"/>
      </left>
      <right style="thin">
        <color rgb="FF000000"/>
      </right>
      <bottom style="thin">
        <color rgb="FF000000"/>
      </bottom>
    </border>
    <border>
      <left style="thick">
        <color rgb="FF000000"/>
      </left>
      <right style="thick">
        <color rgb="FF000000"/>
      </right>
      <top style="thick">
        <color rgb="FF000000"/>
      </top>
      <bottom style="thick">
        <color rgb="FF000000"/>
      </bottom>
    </border>
    <border>
      <left style="thin">
        <color rgb="FF000000"/>
      </left>
      <right style="thin">
        <color rgb="FF000000"/>
      </right>
      <top style="thin">
        <color rgb="FF000000"/>
      </top>
      <bottom style="thin">
        <color rgb="FF000000"/>
      </bottom>
    </border>
    <border>
      <left style="thick">
        <color rgb="FF000000"/>
      </left>
      <right style="thin">
        <color rgb="FF000000"/>
      </right>
      <bottom style="thick">
        <color rgb="FF000000"/>
      </bottom>
    </border>
    <border>
      <left style="thin">
        <color rgb="FF000000"/>
      </left>
      <right style="thin">
        <color rgb="FF000000"/>
      </right>
      <top style="thin">
        <color rgb="FF000000"/>
      </top>
      <bottom style="thick">
        <color rgb="FF000000"/>
      </bottom>
    </border>
    <border>
      <right style="thin">
        <color rgb="FF000000"/>
      </right>
      <bottom style="thick">
        <color rgb="FF000000"/>
      </bottom>
    </border>
    <border>
      <left style="thin">
        <color rgb="FF000000"/>
      </left>
      <top style="thin">
        <color rgb="FF000000"/>
      </top>
      <bottom style="thick">
        <color rgb="FF000000"/>
      </bottom>
    </border>
    <border>
      <left style="thick">
        <color rgb="FF000000"/>
      </left>
      <right style="thin">
        <color rgb="FF000000"/>
      </right>
      <top style="thin">
        <color rgb="FF000000"/>
      </top>
    </border>
    <border>
      <left style="thin">
        <color rgb="FF000000"/>
      </left>
      <right style="thin">
        <color rgb="FF000000"/>
      </right>
      <top style="thin">
        <color rgb="FF000000"/>
      </top>
    </border>
    <border>
      <left style="thick">
        <color rgb="FF000000"/>
      </left>
      <right style="thin">
        <color rgb="FF000000"/>
      </right>
      <top style="thin">
        <color rgb="FF000000"/>
      </top>
      <bottom style="thick">
        <color rgb="FF000000"/>
      </bottom>
    </border>
    <border>
      <right style="thick">
        <color rgb="FF000000"/>
      </right>
      <top style="thin">
        <color rgb="FF000000"/>
      </top>
      <bottom style="thin">
        <color rgb="FF000000"/>
      </bottom>
    </border>
    <border>
      <left style="thin">
        <color rgb="FF000000"/>
      </left>
    </border>
    <border>
      <left style="thick">
        <color rgb="FF000000"/>
      </left>
      <bottom style="thin">
        <color rgb="FF000000"/>
      </bottom>
    </border>
    <border>
      <left style="thick">
        <color rgb="FF000000"/>
      </left>
      <right style="thick">
        <color rgb="FF000000"/>
      </right>
      <top style="thick">
        <color rgb="FF000000"/>
      </top>
      <bottom style="thin">
        <color rgb="FF000000"/>
      </bottom>
    </border>
    <border>
      <left style="thick">
        <color rgb="FF000000"/>
      </left>
      <right style="thick">
        <color rgb="FF000000"/>
      </right>
      <top style="thin">
        <color rgb="FF000000"/>
      </top>
      <bottom style="thin">
        <color rgb="FF000000"/>
      </bottom>
    </border>
    <border>
      <left style="thick">
        <color rgb="FF000000"/>
      </left>
      <right style="thick">
        <color rgb="FF000000"/>
      </right>
      <top style="thin">
        <color rgb="FF000000"/>
      </top>
      <bottom style="thick">
        <color rgb="FF000000"/>
      </bottom>
    </border>
    <border>
      <left style="thick">
        <color rgb="FF000000"/>
      </left>
      <top style="thin">
        <color rgb="FF000000"/>
      </top>
      <bottom style="thin">
        <color rgb="FF000000"/>
      </bottom>
    </border>
    <border>
      <left style="thin">
        <color rgb="FF000000"/>
      </left>
      <right style="thin">
        <color rgb="FF000000"/>
      </right>
      <bottom style="thin">
        <color rgb="FF000000"/>
      </bottom>
    </border>
    <border>
      <right style="thick">
        <color rgb="FF000000"/>
      </right>
      <top style="thin">
        <color rgb="FF000000"/>
      </top>
    </border>
    <border>
      <left style="thick">
        <color rgb="FF000000"/>
      </left>
      <right style="thin">
        <color rgb="FF000000"/>
      </right>
    </border>
    <border>
      <left style="thick">
        <color rgb="FF000000"/>
      </left>
      <top style="thin">
        <color rgb="FF000000"/>
      </top>
    </border>
    <border>
      <left style="thick">
        <color rgb="FF000000"/>
      </left>
      <right style="thick">
        <color rgb="FF000000"/>
      </right>
      <bottom style="thick">
        <color rgb="FF000000"/>
      </bottom>
    </border>
    <border>
      <left style="thin">
        <color rgb="FF000000"/>
      </left>
      <bottom style="thick">
        <color rgb="FF000000"/>
      </bottom>
    </border>
    <border>
      <left style="thick">
        <color rgb="FF000000"/>
      </left>
      <right style="thick">
        <color rgb="FF000000"/>
      </right>
      <top style="thick">
        <color rgb="FF000000"/>
      </top>
    </border>
    <border>
      <left style="thin">
        <color rgb="FF000000"/>
      </left>
      <right style="thin">
        <color rgb="FF000000"/>
      </right>
      <bottom style="thick">
        <color rgb="FF000000"/>
      </bottom>
    </border>
    <border>
      <left style="thick">
        <color rgb="FF000000"/>
      </left>
      <right style="thick">
        <color rgb="FF000000"/>
      </right>
    </border>
    <border>
      <left style="thin">
        <color rgb="FF000000"/>
      </left>
      <right style="thick">
        <color rgb="FF000000"/>
      </right>
      <top style="thin">
        <color rgb="FF000000"/>
      </top>
      <bottom style="thin">
        <color rgb="FF000000"/>
      </bottom>
    </border>
    <border>
      <left style="thin">
        <color rgb="FF000000"/>
      </left>
      <right style="thin">
        <color rgb="FF000000"/>
      </right>
    </border>
    <border>
      <right style="thin">
        <color rgb="FF000000"/>
      </right>
      <top style="thin">
        <color rgb="FF000000"/>
      </top>
      <bottom style="thick">
        <color rgb="FF000000"/>
      </bottom>
    </border>
    <border>
      <top style="medium">
        <color rgb="FF000000"/>
      </top>
    </border>
    <border>
      <left style="thick">
        <color rgb="FF000000"/>
      </left>
      <right style="thin">
        <color rgb="FF000000"/>
      </right>
      <top style="thick">
        <color rgb="FF000000"/>
      </top>
      <bottom style="thin">
        <color rgb="FF000000"/>
      </bottom>
    </border>
    <border>
      <left style="thin">
        <color rgb="FF000000"/>
      </left>
      <top style="thick">
        <color rgb="FF000000"/>
      </top>
      <bottom style="thin">
        <color rgb="FF000000"/>
      </bottom>
    </border>
  </borders>
  <cellStyleXfs count="1">
    <xf borderId="0" fillId="0" fontId="0" numFmtId="0" applyAlignment="1" applyFont="1"/>
  </cellStyleXfs>
  <cellXfs count="934">
    <xf borderId="0" fillId="0" fontId="0" numFmtId="0" xfId="0" applyAlignment="1" applyFont="1">
      <alignment readingOrder="0" shrinkToFit="0" vertical="bottom" wrapText="0"/>
    </xf>
    <xf borderId="0" fillId="0" fontId="1" numFmtId="0" xfId="0" applyFont="1"/>
    <xf borderId="1" fillId="0" fontId="2" numFmtId="0" xfId="0" applyBorder="1" applyFont="1"/>
    <xf borderId="2" fillId="0" fontId="3" numFmtId="0" xfId="0" applyAlignment="1" applyBorder="1" applyFont="1">
      <alignment horizontal="center" readingOrder="0" vertical="center"/>
    </xf>
    <xf borderId="3" fillId="0" fontId="2" numFmtId="0" xfId="0" applyBorder="1" applyFont="1"/>
    <xf borderId="4" fillId="0" fontId="2" numFmtId="0" xfId="0" applyBorder="1" applyFont="1"/>
    <xf borderId="5" fillId="2" fontId="4" numFmtId="0" xfId="0" applyAlignment="1" applyBorder="1" applyFill="1" applyFont="1">
      <alignment horizontal="center" readingOrder="0" vertical="center"/>
    </xf>
    <xf borderId="6" fillId="0" fontId="2" numFmtId="0" xfId="0" applyBorder="1" applyFont="1"/>
    <xf borderId="7" fillId="0" fontId="2" numFmtId="0" xfId="0" applyBorder="1" applyFont="1"/>
    <xf borderId="2" fillId="0" fontId="2" numFmtId="0" xfId="0" applyBorder="1" applyFont="1"/>
    <xf borderId="8" fillId="0" fontId="5" numFmtId="0" xfId="0" applyAlignment="1" applyBorder="1" applyFont="1">
      <alignment horizontal="center" readingOrder="0" vertical="center"/>
    </xf>
    <xf borderId="9" fillId="0" fontId="2" numFmtId="0" xfId="0" applyBorder="1" applyFont="1"/>
    <xf borderId="10" fillId="0" fontId="2" numFmtId="0" xfId="0" applyBorder="1" applyFont="1"/>
    <xf borderId="8" fillId="0" fontId="6" numFmtId="0" xfId="0" applyAlignment="1" applyBorder="1" applyFont="1">
      <alignment horizontal="center" readingOrder="0" shrinkToFit="0" vertical="center" wrapText="1"/>
    </xf>
    <xf borderId="0" fillId="0" fontId="3" numFmtId="0" xfId="0" applyAlignment="1" applyFont="1">
      <alignment horizontal="center" readingOrder="0" vertical="center"/>
    </xf>
    <xf borderId="11" fillId="3" fontId="7" numFmtId="0" xfId="0" applyAlignment="1" applyBorder="1" applyFill="1" applyFont="1">
      <alignment horizontal="center"/>
    </xf>
    <xf borderId="12" fillId="0" fontId="2" numFmtId="0" xfId="0" applyBorder="1" applyFont="1"/>
    <xf borderId="13" fillId="0" fontId="2" numFmtId="0" xfId="0" applyBorder="1" applyFont="1"/>
    <xf borderId="14" fillId="3" fontId="8" numFmtId="0" xfId="0" applyAlignment="1" applyBorder="1" applyFont="1">
      <alignment horizontal="center" readingOrder="0" vertical="bottom"/>
    </xf>
    <xf borderId="15" fillId="0" fontId="2" numFmtId="0" xfId="0" applyBorder="1" applyFont="1"/>
    <xf borderId="16" fillId="3" fontId="9" numFmtId="0" xfId="0" applyAlignment="1" applyBorder="1" applyFont="1">
      <alignment horizontal="left" readingOrder="0"/>
    </xf>
    <xf borderId="1" fillId="3" fontId="10" numFmtId="0" xfId="0" applyAlignment="1" applyBorder="1" applyFont="1">
      <alignment vertical="bottom"/>
    </xf>
    <xf borderId="17" fillId="3" fontId="10" numFmtId="0" xfId="0" applyAlignment="1" applyBorder="1" applyFont="1">
      <alignment vertical="bottom"/>
    </xf>
    <xf borderId="18" fillId="3" fontId="11" numFmtId="0" xfId="0" applyAlignment="1" applyBorder="1" applyFont="1">
      <alignment horizontal="center" readingOrder="0" shrinkToFit="0" wrapText="1"/>
    </xf>
    <xf borderId="19" fillId="0" fontId="2" numFmtId="0" xfId="0" applyBorder="1" applyFont="1"/>
    <xf borderId="20" fillId="0" fontId="2" numFmtId="0" xfId="0" applyBorder="1" applyFont="1"/>
    <xf borderId="21" fillId="2" fontId="12" numFmtId="0" xfId="0" applyAlignment="1" applyBorder="1" applyFont="1">
      <alignment horizontal="center" readingOrder="0" vertical="center"/>
    </xf>
    <xf borderId="22" fillId="0" fontId="2" numFmtId="0" xfId="0" applyBorder="1" applyFont="1"/>
    <xf borderId="23" fillId="0" fontId="2" numFmtId="0" xfId="0" applyBorder="1" applyFont="1"/>
    <xf borderId="0" fillId="3" fontId="12" numFmtId="0" xfId="0" applyAlignment="1" applyFont="1">
      <alignment horizontal="center" readingOrder="0" vertical="center"/>
    </xf>
    <xf borderId="24" fillId="0" fontId="2" numFmtId="0" xfId="0" applyBorder="1" applyFont="1"/>
    <xf borderId="11" fillId="3" fontId="13" numFmtId="0" xfId="0" applyAlignment="1" applyBorder="1" applyFont="1">
      <alignment horizontal="center" readingOrder="0" vertical="center"/>
    </xf>
    <xf borderId="21" fillId="4" fontId="14" numFmtId="0" xfId="0" applyAlignment="1" applyBorder="1" applyFill="1" applyFont="1">
      <alignment horizontal="center" readingOrder="0" vertical="center"/>
    </xf>
    <xf borderId="21" fillId="0" fontId="15" numFmtId="0" xfId="0" applyAlignment="1" applyBorder="1" applyFont="1">
      <alignment horizontal="center" readingOrder="0" vertical="center"/>
    </xf>
    <xf borderId="21" fillId="0" fontId="16" numFmtId="0" xfId="0" applyAlignment="1" applyBorder="1" applyFont="1">
      <alignment horizontal="center" readingOrder="0" shrinkToFit="0" vertical="center" wrapText="1"/>
    </xf>
    <xf borderId="21" fillId="0" fontId="16" numFmtId="0" xfId="0" applyAlignment="1" applyBorder="1" applyFont="1">
      <alignment horizontal="center" readingOrder="0" vertical="center"/>
    </xf>
    <xf borderId="16" fillId="3" fontId="17" numFmtId="0" xfId="0" applyAlignment="1" applyBorder="1" applyFont="1">
      <alignment horizontal="center" readingOrder="0"/>
    </xf>
    <xf borderId="17" fillId="0" fontId="2" numFmtId="0" xfId="0" applyBorder="1" applyFont="1"/>
    <xf borderId="16" fillId="0" fontId="18" numFmtId="0" xfId="0" applyAlignment="1" applyBorder="1" applyFont="1">
      <alignment horizontal="center" readingOrder="0" vertical="center"/>
    </xf>
    <xf borderId="16" fillId="4" fontId="19" numFmtId="0" xfId="0" applyAlignment="1" applyBorder="1" applyFont="1">
      <alignment horizontal="center" readingOrder="0"/>
    </xf>
    <xf borderId="16" fillId="4" fontId="20" numFmtId="0" xfId="0" applyAlignment="1" applyBorder="1" applyFont="1">
      <alignment horizontal="center" readingOrder="0" vertical="center"/>
    </xf>
    <xf borderId="21" fillId="5" fontId="14" numFmtId="0" xfId="0" applyAlignment="1" applyBorder="1" applyFill="1" applyFont="1">
      <alignment horizontal="center" readingOrder="0" vertical="center"/>
    </xf>
    <xf borderId="21" fillId="3" fontId="16" numFmtId="0" xfId="0" applyAlignment="1" applyBorder="1" applyFont="1">
      <alignment horizontal="center" readingOrder="0" vertical="center"/>
    </xf>
    <xf borderId="25" fillId="6" fontId="21" numFmtId="0" xfId="0" applyAlignment="1" applyBorder="1" applyFill="1" applyFont="1">
      <alignment horizontal="center" readingOrder="0" shrinkToFit="0" vertical="center" wrapText="1"/>
    </xf>
    <xf borderId="26" fillId="0" fontId="2" numFmtId="0" xfId="0" applyBorder="1" applyFont="1"/>
    <xf borderId="27" fillId="0" fontId="2" numFmtId="0" xfId="0" applyBorder="1" applyFont="1"/>
    <xf borderId="28" fillId="3" fontId="22" numFmtId="0" xfId="0" applyAlignment="1" applyBorder="1" applyFont="1">
      <alignment horizontal="center" readingOrder="0" shrinkToFit="0" vertical="center" wrapText="1"/>
    </xf>
    <xf borderId="2" fillId="7" fontId="3" numFmtId="0" xfId="0" applyAlignment="1" applyBorder="1" applyFill="1" applyFont="1">
      <alignment horizontal="center" readingOrder="0" vertical="center"/>
    </xf>
    <xf borderId="29" fillId="0" fontId="2" numFmtId="0" xfId="0" applyBorder="1" applyFont="1"/>
    <xf borderId="30" fillId="0" fontId="11" numFmtId="0" xfId="0" applyAlignment="1" applyBorder="1" applyFont="1">
      <alignment horizontal="center" readingOrder="0" vertical="center"/>
    </xf>
    <xf borderId="4" fillId="0" fontId="11" numFmtId="0" xfId="0" applyAlignment="1" applyBorder="1" applyFont="1">
      <alignment horizontal="center" readingOrder="0" vertical="center"/>
    </xf>
    <xf borderId="3" fillId="0" fontId="11" numFmtId="0" xfId="0" applyAlignment="1" applyBorder="1" applyFont="1">
      <alignment horizontal="center" readingOrder="0" vertical="center"/>
    </xf>
    <xf borderId="31" fillId="4" fontId="11" numFmtId="0" xfId="0" applyAlignment="1" applyBorder="1" applyFont="1">
      <alignment horizontal="center" readingOrder="0" vertical="center"/>
    </xf>
    <xf borderId="30" fillId="0" fontId="23" numFmtId="0" xfId="0" applyAlignment="1" applyBorder="1" applyFont="1">
      <alignment horizontal="center" vertical="center"/>
    </xf>
    <xf borderId="32" fillId="0" fontId="24" numFmtId="0" xfId="0" applyAlignment="1" applyBorder="1" applyFont="1">
      <alignment horizontal="center" readingOrder="0" vertical="center"/>
    </xf>
    <xf borderId="4" fillId="0" fontId="24" numFmtId="0" xfId="0" applyAlignment="1" applyBorder="1" applyFont="1">
      <alignment horizontal="center" readingOrder="0" vertical="center"/>
    </xf>
    <xf borderId="32" fillId="3" fontId="24" numFmtId="0" xfId="0" applyAlignment="1" applyBorder="1" applyFont="1">
      <alignment horizontal="center" readingOrder="0" vertical="center"/>
    </xf>
    <xf borderId="8" fillId="3" fontId="25" numFmtId="0" xfId="0" applyAlignment="1" applyBorder="1" applyFont="1">
      <alignment horizontal="center" readingOrder="0" vertical="center"/>
    </xf>
    <xf borderId="31" fillId="4" fontId="24" numFmtId="0" xfId="0" applyAlignment="1" applyBorder="1" applyFont="1">
      <alignment horizontal="center" readingOrder="0" vertical="center"/>
    </xf>
    <xf borderId="33" fillId="0" fontId="23" numFmtId="0" xfId="0" applyAlignment="1" applyBorder="1" applyFont="1">
      <alignment horizontal="center" vertical="center"/>
    </xf>
    <xf borderId="34" fillId="0" fontId="24" numFmtId="0" xfId="0" applyAlignment="1" applyBorder="1" applyFont="1">
      <alignment horizontal="center" readingOrder="0" vertical="center"/>
    </xf>
    <xf borderId="35" fillId="0" fontId="24" numFmtId="0" xfId="0" applyAlignment="1" applyBorder="1" applyFont="1">
      <alignment horizontal="center" readingOrder="0" vertical="center"/>
    </xf>
    <xf borderId="34" fillId="3" fontId="24" numFmtId="0" xfId="0" applyAlignment="1" applyBorder="1" applyFont="1">
      <alignment horizontal="center" readingOrder="0" vertical="center"/>
    </xf>
    <xf borderId="36" fillId="3" fontId="25" numFmtId="0" xfId="0" applyAlignment="1" applyBorder="1" applyFont="1">
      <alignment horizontal="center" readingOrder="0" vertical="center"/>
    </xf>
    <xf borderId="25" fillId="6" fontId="26" numFmtId="0" xfId="0" applyAlignment="1" applyBorder="1" applyFont="1">
      <alignment horizontal="center" readingOrder="0" vertical="center"/>
    </xf>
    <xf borderId="25" fillId="6" fontId="27" numFmtId="0" xfId="0" applyAlignment="1" applyBorder="1" applyFont="1">
      <alignment horizontal="center" readingOrder="0" shrinkToFit="0" vertical="center" wrapText="1"/>
    </xf>
    <xf borderId="25" fillId="6" fontId="12" numFmtId="0" xfId="0" applyAlignment="1" applyBorder="1" applyFont="1">
      <alignment horizontal="center" readingOrder="0" shrinkToFit="0" vertical="center" wrapText="1"/>
    </xf>
    <xf borderId="3" fillId="7" fontId="28" numFmtId="0" xfId="0" applyAlignment="1" applyBorder="1" applyFont="1">
      <alignment horizontal="center"/>
    </xf>
    <xf borderId="37" fillId="3" fontId="11" numFmtId="0" xfId="0" applyAlignment="1" applyBorder="1" applyFont="1">
      <alignment horizontal="center" readingOrder="0" vertical="center"/>
    </xf>
    <xf borderId="38" fillId="3" fontId="11" numFmtId="0" xfId="0" applyAlignment="1" applyBorder="1" applyFont="1">
      <alignment horizontal="center" readingOrder="0" vertical="center"/>
    </xf>
    <xf borderId="32" fillId="3" fontId="11" numFmtId="0" xfId="0" applyAlignment="1" applyBorder="1" applyFont="1">
      <alignment horizontal="center" readingOrder="0" vertical="center"/>
    </xf>
    <xf borderId="5" fillId="3" fontId="29" numFmtId="0" xfId="0" applyAlignment="1" applyBorder="1" applyFont="1">
      <alignment horizontal="center" readingOrder="0" vertical="center"/>
    </xf>
    <xf borderId="28" fillId="3" fontId="23" numFmtId="0" xfId="0" applyAlignment="1" applyBorder="1" applyFont="1">
      <alignment horizontal="center" vertical="center"/>
    </xf>
    <xf borderId="32" fillId="0" fontId="24" numFmtId="0" xfId="0" applyAlignment="1" applyBorder="1" applyFont="1">
      <alignment horizontal="center" vertical="center"/>
    </xf>
    <xf borderId="32" fillId="3" fontId="30" numFmtId="0" xfId="0" applyAlignment="1" applyBorder="1" applyFont="1">
      <alignment horizontal="center" readingOrder="0" vertical="center"/>
    </xf>
    <xf borderId="8" fillId="0" fontId="31" numFmtId="0" xfId="0" applyAlignment="1" applyBorder="1" applyFont="1">
      <alignment horizontal="center" readingOrder="0" vertical="center"/>
    </xf>
    <xf borderId="31" fillId="4" fontId="24" numFmtId="0" xfId="0" applyAlignment="1" applyBorder="1" applyFont="1">
      <alignment horizontal="center" readingOrder="0" vertical="center"/>
    </xf>
    <xf borderId="39" fillId="3" fontId="23" numFmtId="0" xfId="0" applyAlignment="1" applyBorder="1" applyFont="1">
      <alignment horizontal="center" vertical="center"/>
    </xf>
    <xf borderId="34" fillId="0" fontId="24" numFmtId="0" xfId="0" applyAlignment="1" applyBorder="1" applyFont="1">
      <alignment horizontal="center" vertical="center"/>
    </xf>
    <xf borderId="34" fillId="3" fontId="30" numFmtId="0" xfId="0" applyAlignment="1" applyBorder="1" applyFont="1">
      <alignment horizontal="center" readingOrder="0" vertical="center"/>
    </xf>
    <xf borderId="36" fillId="0" fontId="31" numFmtId="0" xfId="0" applyAlignment="1" applyBorder="1" applyFont="1">
      <alignment horizontal="center" readingOrder="0" vertical="center"/>
    </xf>
    <xf borderId="2" fillId="7" fontId="3" numFmtId="0" xfId="0" applyAlignment="1" applyBorder="1" applyFont="1">
      <alignment horizontal="center" readingOrder="0" vertical="center"/>
    </xf>
    <xf borderId="28" fillId="3" fontId="23" numFmtId="0" xfId="0" applyAlignment="1" applyBorder="1" applyFont="1">
      <alignment horizontal="center" readingOrder="0" vertical="center"/>
    </xf>
    <xf borderId="39" fillId="3" fontId="23" numFmtId="0" xfId="0" applyAlignment="1" applyBorder="1" applyFont="1">
      <alignment horizontal="center" readingOrder="0" vertical="center"/>
    </xf>
    <xf borderId="25" fillId="6" fontId="12" numFmtId="0" xfId="0" applyAlignment="1" applyBorder="1" applyFont="1">
      <alignment horizontal="center" readingOrder="0" vertical="center"/>
    </xf>
    <xf borderId="8" fillId="7" fontId="3" numFmtId="0" xfId="0" applyAlignment="1" applyBorder="1" applyFont="1">
      <alignment horizontal="center" readingOrder="0" vertical="center"/>
    </xf>
    <xf borderId="40" fillId="0" fontId="2" numFmtId="0" xfId="0" applyBorder="1" applyFont="1"/>
    <xf borderId="28" fillId="0" fontId="11" numFmtId="0" xfId="0" applyAlignment="1" applyBorder="1" applyFont="1">
      <alignment horizontal="center" readingOrder="0" vertical="center"/>
    </xf>
    <xf borderId="32" fillId="0" fontId="11" numFmtId="0" xfId="0" applyAlignment="1" applyBorder="1" applyFont="1">
      <alignment horizontal="center" readingOrder="0" vertical="center"/>
    </xf>
    <xf borderId="8" fillId="3" fontId="29" numFmtId="0" xfId="0" applyAlignment="1" applyBorder="1" applyFont="1">
      <alignment horizontal="center" readingOrder="0" vertical="center"/>
    </xf>
    <xf borderId="4" fillId="0" fontId="24" numFmtId="0" xfId="0" applyAlignment="1" applyBorder="1" applyFont="1">
      <alignment horizontal="center" vertical="center"/>
    </xf>
    <xf borderId="3" fillId="0" fontId="25" numFmtId="0" xfId="0" applyAlignment="1" applyBorder="1" applyFont="1">
      <alignment horizontal="center" readingOrder="0" vertical="center"/>
    </xf>
    <xf borderId="35" fillId="0" fontId="24" numFmtId="0" xfId="0" applyAlignment="1" applyBorder="1" applyFont="1">
      <alignment horizontal="center" vertical="center"/>
    </xf>
    <xf borderId="1" fillId="0" fontId="25" numFmtId="0" xfId="0" applyAlignment="1" applyBorder="1" applyFont="1">
      <alignment horizontal="center" readingOrder="0" vertical="center"/>
    </xf>
    <xf borderId="0" fillId="0" fontId="32" numFmtId="0" xfId="0" applyAlignment="1" applyFont="1">
      <alignment horizontal="center" vertical="center"/>
    </xf>
    <xf borderId="4" fillId="0" fontId="33" numFmtId="0" xfId="0" applyAlignment="1" applyBorder="1" applyFont="1">
      <alignment horizontal="center" readingOrder="0" vertical="center"/>
    </xf>
    <xf borderId="35" fillId="0" fontId="33" numFmtId="0" xfId="0" applyAlignment="1" applyBorder="1" applyFont="1">
      <alignment horizontal="center" readingOrder="0" vertical="center"/>
    </xf>
    <xf borderId="21" fillId="5" fontId="34" numFmtId="0" xfId="0" applyAlignment="1" applyBorder="1" applyFont="1">
      <alignment horizontal="center" readingOrder="0" vertical="center"/>
    </xf>
    <xf borderId="21" fillId="3" fontId="35" numFmtId="0" xfId="0" applyAlignment="1" applyBorder="1" applyFont="1">
      <alignment horizontal="center" readingOrder="0" vertical="center"/>
    </xf>
    <xf borderId="41" fillId="3" fontId="36" numFmtId="0" xfId="0" applyAlignment="1" applyBorder="1" applyFont="1">
      <alignment horizontal="center" readingOrder="0" vertical="center"/>
    </xf>
    <xf borderId="21" fillId="3" fontId="36" numFmtId="0" xfId="0" applyAlignment="1" applyBorder="1" applyFont="1">
      <alignment horizontal="center" readingOrder="0" vertical="center"/>
    </xf>
    <xf borderId="23" fillId="0" fontId="37" numFmtId="0" xfId="0" applyAlignment="1" applyBorder="1" applyFont="1">
      <alignment horizontal="left" readingOrder="0" shrinkToFit="0" vertical="center" wrapText="1"/>
    </xf>
    <xf borderId="21" fillId="0" fontId="37" numFmtId="0" xfId="0" applyAlignment="1" applyBorder="1" applyFont="1">
      <alignment horizontal="left" readingOrder="0" shrinkToFit="0" vertical="center" wrapText="1"/>
    </xf>
    <xf borderId="42" fillId="6" fontId="12" numFmtId="0" xfId="0" applyAlignment="1" applyBorder="1" applyFont="1">
      <alignment horizontal="center" readingOrder="0" vertical="center"/>
    </xf>
    <xf borderId="25" fillId="6" fontId="38" numFmtId="0" xfId="0" applyAlignment="1" applyBorder="1" applyFont="1">
      <alignment horizontal="center" readingOrder="0" shrinkToFit="0" vertical="bottom" wrapText="1"/>
    </xf>
    <xf borderId="43" fillId="4" fontId="24" numFmtId="0" xfId="0" applyAlignment="1" applyBorder="1" applyFont="1">
      <alignment horizontal="center" readingOrder="0" vertical="center"/>
    </xf>
    <xf borderId="44" fillId="4" fontId="24" numFmtId="0" xfId="0" applyAlignment="1" applyBorder="1" applyFont="1">
      <alignment horizontal="center" readingOrder="0" vertical="center"/>
    </xf>
    <xf borderId="45" fillId="4" fontId="24" numFmtId="0" xfId="0" applyAlignment="1" applyBorder="1" applyFont="1">
      <alignment horizontal="center" readingOrder="0" vertical="center"/>
    </xf>
    <xf borderId="0" fillId="0" fontId="1" numFmtId="0" xfId="0" applyAlignment="1" applyFont="1">
      <alignment horizontal="center" vertical="center"/>
    </xf>
    <xf borderId="25" fillId="0" fontId="16" numFmtId="0" xfId="0" applyAlignment="1" applyBorder="1" applyFont="1">
      <alignment horizontal="center" vertical="center"/>
    </xf>
    <xf borderId="0" fillId="0" fontId="16" numFmtId="0" xfId="0" applyAlignment="1" applyFont="1">
      <alignment horizontal="center" vertical="center"/>
    </xf>
    <xf borderId="0" fillId="0" fontId="32" numFmtId="0" xfId="0" applyAlignment="1" applyFont="1">
      <alignment horizontal="center" vertical="center"/>
    </xf>
    <xf borderId="46" fillId="5" fontId="3" numFmtId="0" xfId="0" applyAlignment="1" applyBorder="1" applyFont="1">
      <alignment horizontal="center" vertical="center"/>
    </xf>
    <xf borderId="0" fillId="5" fontId="3" numFmtId="0" xfId="0" applyAlignment="1" applyFont="1">
      <alignment horizontal="center" vertical="center"/>
    </xf>
    <xf borderId="14" fillId="3" fontId="39" numFmtId="0" xfId="0" applyAlignment="1" applyBorder="1" applyFont="1">
      <alignment horizontal="center" readingOrder="0" vertical="bottom"/>
    </xf>
    <xf borderId="46" fillId="0" fontId="16" numFmtId="0" xfId="0" applyAlignment="1" applyBorder="1" applyFont="1">
      <alignment horizontal="center" vertical="center"/>
    </xf>
    <xf borderId="18" fillId="0" fontId="6" numFmtId="0" xfId="0" applyAlignment="1" applyBorder="1" applyFont="1">
      <alignment horizontal="center" vertical="center"/>
    </xf>
    <xf borderId="0" fillId="0" fontId="6" numFmtId="0" xfId="0" applyAlignment="1" applyFont="1">
      <alignment horizontal="center" vertical="center"/>
    </xf>
    <xf borderId="0" fillId="7" fontId="40" numFmtId="0" xfId="0" applyAlignment="1" applyFont="1">
      <alignment horizontal="center" readingOrder="0" vertical="center"/>
    </xf>
    <xf borderId="21" fillId="0" fontId="41" numFmtId="0" xfId="0" applyAlignment="1" applyBorder="1" applyFont="1">
      <alignment horizontal="center" shrinkToFit="0" vertical="center" wrapText="1"/>
    </xf>
    <xf borderId="0" fillId="0" fontId="41" numFmtId="0" xfId="0" applyAlignment="1" applyFont="1">
      <alignment horizontal="center" shrinkToFit="0" vertical="center" wrapText="1"/>
    </xf>
    <xf borderId="0" fillId="0" fontId="41" numFmtId="0" xfId="0" applyAlignment="1" applyFont="1">
      <alignment horizontal="center" vertical="center"/>
    </xf>
    <xf borderId="21" fillId="0" fontId="42" numFmtId="0" xfId="0" applyAlignment="1" applyBorder="1" applyFont="1">
      <alignment horizontal="center" vertical="center"/>
    </xf>
    <xf borderId="0" fillId="0" fontId="42" numFmtId="0" xfId="0" applyAlignment="1" applyFont="1">
      <alignment horizontal="center" vertical="center"/>
    </xf>
    <xf borderId="21" fillId="2" fontId="43" numFmtId="0" xfId="0" applyAlignment="1" applyBorder="1" applyFont="1">
      <alignment horizontal="center" readingOrder="0" vertical="center"/>
    </xf>
    <xf borderId="0" fillId="2" fontId="44" numFmtId="0" xfId="0" applyAlignment="1" applyFont="1">
      <alignment horizontal="center" readingOrder="0" vertical="center"/>
    </xf>
    <xf borderId="21" fillId="6" fontId="12" numFmtId="0" xfId="0" applyAlignment="1" applyBorder="1" applyFont="1">
      <alignment horizontal="center" readingOrder="0" vertical="center"/>
    </xf>
    <xf borderId="0" fillId="6" fontId="12" numFmtId="0" xfId="0" applyAlignment="1" applyFont="1">
      <alignment horizontal="center" readingOrder="0" vertical="center"/>
    </xf>
    <xf borderId="21" fillId="6" fontId="45" numFmtId="0" xfId="0" applyAlignment="1" applyBorder="1" applyFont="1">
      <alignment horizontal="center" shrinkToFit="0" vertical="center" wrapText="0"/>
    </xf>
    <xf borderId="0" fillId="0" fontId="46" numFmtId="0" xfId="0" applyAlignment="1" applyFont="1">
      <alignment horizontal="center" vertical="center"/>
    </xf>
    <xf borderId="47" fillId="0" fontId="29" numFmtId="0" xfId="0" applyAlignment="1" applyBorder="1" applyFont="1">
      <alignment horizontal="center" vertical="center"/>
    </xf>
    <xf borderId="4" fillId="0" fontId="29" numFmtId="0" xfId="0" applyAlignment="1" applyBorder="1" applyFont="1">
      <alignment horizontal="center" vertical="center"/>
    </xf>
    <xf borderId="3" fillId="3" fontId="29" numFmtId="0" xfId="0" applyAlignment="1" applyBorder="1" applyFont="1">
      <alignment horizontal="center" vertical="center"/>
    </xf>
    <xf borderId="31" fillId="4" fontId="29" numFmtId="0" xfId="0" applyAlignment="1" applyBorder="1" applyFont="1">
      <alignment horizontal="center" readingOrder="0" vertical="center"/>
    </xf>
    <xf borderId="0" fillId="4" fontId="29" numFmtId="0" xfId="0" applyAlignment="1" applyFont="1">
      <alignment horizontal="center" readingOrder="0" vertical="center"/>
    </xf>
    <xf borderId="2" fillId="3" fontId="29" numFmtId="0" xfId="0" applyAlignment="1" applyBorder="1" applyFont="1">
      <alignment horizontal="center" vertical="center"/>
    </xf>
    <xf borderId="47" fillId="0" fontId="47" numFmtId="0" xfId="0" applyAlignment="1" applyBorder="1" applyFont="1">
      <alignment horizontal="center" readingOrder="0" vertical="center"/>
    </xf>
    <xf borderId="4" fillId="3" fontId="48" numFmtId="0" xfId="0" applyAlignment="1" applyBorder="1" applyFont="1">
      <alignment horizontal="center" vertical="center"/>
    </xf>
    <xf borderId="4" fillId="0" fontId="48" numFmtId="0" xfId="0" applyAlignment="1" applyBorder="1" applyFont="1">
      <alignment horizontal="center" readingOrder="0" vertical="center"/>
    </xf>
    <xf borderId="3" fillId="3" fontId="24" numFmtId="0" xfId="0" applyAlignment="1" applyBorder="1" applyFont="1">
      <alignment horizontal="center" readingOrder="0" vertical="center"/>
    </xf>
    <xf borderId="0" fillId="4" fontId="24" numFmtId="0" xfId="0" applyAlignment="1" applyFont="1">
      <alignment horizontal="center" readingOrder="0" vertical="center"/>
    </xf>
    <xf borderId="32" fillId="0" fontId="47" numFmtId="0" xfId="0" applyAlignment="1" applyBorder="1" applyFont="1">
      <alignment horizontal="center" readingOrder="0" vertical="center"/>
    </xf>
    <xf borderId="32" fillId="0" fontId="48" numFmtId="0" xfId="0" applyAlignment="1" applyBorder="1" applyFont="1">
      <alignment horizontal="center" vertical="center"/>
    </xf>
    <xf borderId="4" fillId="0" fontId="48" numFmtId="0" xfId="0" applyAlignment="1" applyBorder="1" applyFont="1">
      <alignment horizontal="center" vertical="center"/>
    </xf>
    <xf borderId="31" fillId="4" fontId="24" numFmtId="0" xfId="0" applyAlignment="1" applyBorder="1" applyFont="1">
      <alignment horizontal="center" vertical="center"/>
    </xf>
    <xf borderId="0" fillId="4" fontId="24" numFmtId="0" xfId="0" applyAlignment="1" applyFont="1">
      <alignment horizontal="center" vertical="center"/>
    </xf>
    <xf borderId="8" fillId="3" fontId="5" numFmtId="0" xfId="0" applyAlignment="1" applyBorder="1" applyFont="1">
      <alignment horizontal="center" readingOrder="0" shrinkToFit="0" vertical="center" wrapText="1"/>
    </xf>
    <xf borderId="31" fillId="4" fontId="3" numFmtId="0" xfId="0" applyAlignment="1" applyBorder="1" applyFont="1">
      <alignment horizontal="center" readingOrder="0" vertical="center"/>
    </xf>
    <xf borderId="0" fillId="4" fontId="3" numFmtId="0" xfId="0" applyAlignment="1" applyFont="1">
      <alignment horizontal="center" readingOrder="0" vertical="center"/>
    </xf>
    <xf borderId="21" fillId="6" fontId="49" numFmtId="0" xfId="0" applyAlignment="1" applyBorder="1" applyFont="1">
      <alignment horizontal="center" vertical="center"/>
    </xf>
    <xf borderId="0" fillId="6" fontId="50" numFmtId="0" xfId="0" applyAlignment="1" applyFont="1">
      <alignment horizontal="center" vertical="center"/>
    </xf>
    <xf borderId="3" fillId="0" fontId="32" numFmtId="0" xfId="0" applyAlignment="1" applyBorder="1" applyFont="1">
      <alignment horizontal="center" vertical="center"/>
    </xf>
    <xf borderId="47" fillId="0" fontId="48" numFmtId="0" xfId="0" applyAlignment="1" applyBorder="1" applyFont="1">
      <alignment horizontal="center" vertical="center"/>
    </xf>
    <xf borderId="47" fillId="0" fontId="47" numFmtId="0" xfId="0" applyAlignment="1" applyBorder="1" applyFont="1">
      <alignment horizontal="center" vertical="center"/>
    </xf>
    <xf borderId="0" fillId="6" fontId="12" numFmtId="0" xfId="0" applyAlignment="1" applyFont="1">
      <alignment horizontal="center" vertical="center"/>
    </xf>
    <xf borderId="0" fillId="3" fontId="5" numFmtId="0" xfId="0" applyAlignment="1" applyFont="1">
      <alignment horizontal="center" readingOrder="0" shrinkToFit="0" vertical="center" wrapText="1"/>
    </xf>
    <xf borderId="21" fillId="6" fontId="51" numFmtId="0" xfId="0" applyAlignment="1" applyBorder="1" applyFont="1">
      <alignment horizontal="center" shrinkToFit="0" vertical="center" wrapText="0"/>
    </xf>
    <xf borderId="0" fillId="6" fontId="51" numFmtId="0" xfId="0" applyAlignment="1" applyFont="1">
      <alignment horizontal="center" shrinkToFit="0" vertical="center" wrapText="0"/>
    </xf>
    <xf borderId="4" fillId="3" fontId="48" numFmtId="0" xfId="0" applyAlignment="1" applyBorder="1" applyFont="1">
      <alignment horizontal="center" readingOrder="0" vertical="center"/>
    </xf>
    <xf borderId="21" fillId="5" fontId="3" numFmtId="0" xfId="0" applyAlignment="1" applyBorder="1" applyFont="1">
      <alignment horizontal="center" vertical="center"/>
    </xf>
    <xf borderId="14" fillId="0" fontId="52" numFmtId="0" xfId="0" applyAlignment="1" applyBorder="1" applyFont="1">
      <alignment horizontal="center" vertical="center"/>
    </xf>
    <xf borderId="0" fillId="0" fontId="52" numFmtId="0" xfId="0" applyAlignment="1" applyFont="1">
      <alignment horizontal="center" vertical="center"/>
    </xf>
    <xf borderId="16" fillId="0" fontId="6" numFmtId="0" xfId="0" applyAlignment="1" applyBorder="1" applyFont="1">
      <alignment horizontal="center" vertical="center"/>
    </xf>
    <xf borderId="5" fillId="3" fontId="5" numFmtId="0" xfId="0" applyAlignment="1" applyBorder="1" applyFont="1">
      <alignment horizontal="center" readingOrder="0" shrinkToFit="0" vertical="center" wrapText="1"/>
    </xf>
    <xf borderId="6" fillId="0" fontId="32" numFmtId="0" xfId="0" applyAlignment="1" applyBorder="1" applyFont="1">
      <alignment horizontal="center" vertical="center"/>
    </xf>
    <xf borderId="21" fillId="0" fontId="53" numFmtId="0" xfId="0" applyAlignment="1" applyBorder="1" applyFont="1">
      <alignment horizontal="left" shrinkToFit="0" vertical="center" wrapText="1"/>
    </xf>
    <xf borderId="0" fillId="0" fontId="53" numFmtId="0" xfId="0" applyAlignment="1" applyFont="1">
      <alignment horizontal="left" shrinkToFit="0" vertical="center" wrapText="1"/>
    </xf>
    <xf borderId="25" fillId="5" fontId="3" numFmtId="0" xfId="0" applyAlignment="1" applyBorder="1" applyFont="1">
      <alignment horizontal="center" vertical="center"/>
    </xf>
    <xf borderId="46" fillId="0" fontId="52" numFmtId="0" xfId="0" applyAlignment="1" applyBorder="1" applyFont="1">
      <alignment horizontal="center" vertical="center"/>
    </xf>
    <xf borderId="21" fillId="0" fontId="54" numFmtId="0" xfId="0" applyAlignment="1" applyBorder="1" applyFont="1">
      <alignment horizontal="center" vertical="center"/>
    </xf>
    <xf borderId="0" fillId="0" fontId="54" numFmtId="0" xfId="0" applyAlignment="1" applyFont="1">
      <alignment horizontal="center" vertical="center"/>
    </xf>
    <xf borderId="21" fillId="6" fontId="55" numFmtId="0" xfId="0" applyAlignment="1" applyBorder="1" applyFont="1">
      <alignment horizontal="center" vertical="center"/>
    </xf>
    <xf borderId="0" fillId="6" fontId="56" numFmtId="0" xfId="0" applyAlignment="1" applyFont="1">
      <alignment horizontal="center" vertical="center"/>
    </xf>
    <xf borderId="4" fillId="0" fontId="47" numFmtId="0" xfId="0" applyAlignment="1" applyBorder="1" applyFont="1">
      <alignment horizontal="center" vertical="center"/>
    </xf>
    <xf borderId="21" fillId="6" fontId="57" numFmtId="0" xfId="0" applyAlignment="1" applyBorder="1" applyFont="1">
      <alignment horizontal="center" vertical="center"/>
    </xf>
    <xf borderId="0" fillId="6" fontId="58" numFmtId="0" xfId="0" applyAlignment="1" applyFont="1">
      <alignment horizontal="center" vertical="center"/>
    </xf>
    <xf borderId="0" fillId="3" fontId="14" numFmtId="0" xfId="0" applyAlignment="1" applyFont="1">
      <alignment horizontal="center" readingOrder="0" vertical="center"/>
    </xf>
    <xf borderId="0" fillId="3" fontId="59" numFmtId="0" xfId="0" applyAlignment="1" applyFont="1">
      <alignment horizontal="center" readingOrder="0" vertical="center"/>
    </xf>
    <xf borderId="41" fillId="3" fontId="32" numFmtId="0" xfId="0" applyAlignment="1" applyBorder="1" applyFont="1">
      <alignment horizontal="center" readingOrder="0" vertical="center"/>
    </xf>
    <xf borderId="0" fillId="0" fontId="16" numFmtId="0" xfId="0" applyAlignment="1" applyFont="1">
      <alignment horizontal="center" readingOrder="0" vertical="center"/>
    </xf>
    <xf borderId="0" fillId="0" fontId="60" numFmtId="0" xfId="0" applyAlignment="1" applyFont="1">
      <alignment horizontal="center" readingOrder="0" vertical="center"/>
    </xf>
    <xf borderId="41" fillId="0" fontId="61" numFmtId="0" xfId="0" applyAlignment="1" applyBorder="1" applyFont="1">
      <alignment horizontal="left" readingOrder="0" vertical="center"/>
    </xf>
    <xf borderId="41" fillId="0" fontId="32" numFmtId="0" xfId="0" applyAlignment="1" applyBorder="1" applyFont="1">
      <alignment horizontal="center" vertical="center"/>
    </xf>
    <xf borderId="24" fillId="0" fontId="16" numFmtId="0" xfId="0" applyAlignment="1" applyBorder="1" applyFont="1">
      <alignment horizontal="center" readingOrder="0" vertical="center"/>
    </xf>
    <xf borderId="0" fillId="0" fontId="16" numFmtId="0" xfId="0" applyAlignment="1" applyFont="1">
      <alignment horizontal="center" readingOrder="0" vertical="center"/>
    </xf>
    <xf borderId="8" fillId="0" fontId="3" numFmtId="0" xfId="0" applyAlignment="1" applyBorder="1" applyFont="1">
      <alignment horizontal="center" readingOrder="0" vertical="center"/>
    </xf>
    <xf borderId="0" fillId="0" fontId="52" numFmtId="0" xfId="0" applyAlignment="1" applyFont="1">
      <alignment horizontal="center" readingOrder="0" vertical="center"/>
    </xf>
    <xf borderId="0" fillId="3" fontId="52" numFmtId="0" xfId="0" applyAlignment="1" applyFont="1">
      <alignment horizontal="center" readingOrder="0" vertical="center"/>
    </xf>
    <xf borderId="0" fillId="0" fontId="52" numFmtId="0" xfId="0" applyAlignment="1" applyFont="1">
      <alignment horizontal="center" readingOrder="0" vertical="center"/>
    </xf>
    <xf borderId="0" fillId="0" fontId="62" numFmtId="0" xfId="0" applyAlignment="1" applyFont="1">
      <alignment horizontal="center" vertical="center"/>
    </xf>
    <xf borderId="0" fillId="0" fontId="63" numFmtId="0" xfId="0" applyAlignment="1" applyFont="1">
      <alignment horizontal="center" readingOrder="0" vertical="center"/>
    </xf>
    <xf borderId="21" fillId="5" fontId="3" numFmtId="0" xfId="0" applyAlignment="1" applyBorder="1" applyFont="1">
      <alignment horizontal="center" readingOrder="0" vertical="center"/>
    </xf>
    <xf borderId="42" fillId="6" fontId="64" numFmtId="0" xfId="0" applyAlignment="1" applyBorder="1" applyFont="1">
      <alignment horizontal="center" readingOrder="0" vertical="center"/>
    </xf>
    <xf borderId="28" fillId="3" fontId="11" numFmtId="0" xfId="0" applyAlignment="1" applyBorder="1" applyFont="1">
      <alignment horizontal="center" readingOrder="0" shrinkToFit="0" vertical="center" wrapText="1"/>
    </xf>
    <xf borderId="8" fillId="7" fontId="3" numFmtId="0" xfId="0" applyAlignment="1" applyBorder="1" applyFont="1">
      <alignment horizontal="center" readingOrder="0" vertical="bottom"/>
    </xf>
    <xf borderId="37" fillId="3" fontId="11" numFmtId="0" xfId="0" applyAlignment="1" applyBorder="1" applyFont="1">
      <alignment horizontal="center" readingOrder="0" shrinkToFit="0" vertical="center" wrapText="1"/>
    </xf>
    <xf borderId="5" fillId="7" fontId="3" numFmtId="0" xfId="0" applyAlignment="1" applyBorder="1" applyFont="1">
      <alignment horizontal="center" readingOrder="0" vertical="center"/>
    </xf>
    <xf borderId="48" fillId="0" fontId="2" numFmtId="0" xfId="0" applyBorder="1" applyFont="1"/>
    <xf borderId="49" fillId="0" fontId="11" numFmtId="0" xfId="0" applyAlignment="1" applyBorder="1" applyFont="1">
      <alignment horizontal="center" readingOrder="0" vertical="center"/>
    </xf>
    <xf borderId="24" fillId="0" fontId="11" numFmtId="0" xfId="0" applyAlignment="1" applyBorder="1" applyFont="1">
      <alignment horizontal="center" readingOrder="0" vertical="center"/>
    </xf>
    <xf borderId="0" fillId="3" fontId="29" numFmtId="0" xfId="0" applyAlignment="1" applyFont="1">
      <alignment horizontal="center" readingOrder="0" vertical="center"/>
    </xf>
    <xf borderId="0" fillId="0" fontId="65" numFmtId="0" xfId="0" applyAlignment="1" applyFont="1">
      <alignment horizontal="center" vertical="center"/>
    </xf>
    <xf borderId="31" fillId="4" fontId="11" numFmtId="0" xfId="0" applyAlignment="1" applyBorder="1" applyFont="1">
      <alignment horizontal="center" readingOrder="0" vertical="center"/>
    </xf>
    <xf borderId="28" fillId="3" fontId="47" numFmtId="0" xfId="0" applyAlignment="1" applyBorder="1" applyFont="1">
      <alignment horizontal="center" vertical="center"/>
    </xf>
    <xf borderId="32" fillId="3" fontId="48" numFmtId="0" xfId="0" applyAlignment="1" applyBorder="1" applyFont="1">
      <alignment horizontal="center" vertical="center"/>
    </xf>
    <xf borderId="32" fillId="3" fontId="48" numFmtId="0" xfId="0" applyAlignment="1" applyBorder="1" applyFont="1">
      <alignment horizontal="center" readingOrder="0" vertical="center"/>
    </xf>
    <xf borderId="0" fillId="0" fontId="24" numFmtId="0" xfId="0" applyAlignment="1" applyFont="1">
      <alignment horizontal="center" vertical="center"/>
    </xf>
    <xf borderId="28" fillId="0" fontId="23" numFmtId="0" xfId="0" applyAlignment="1" applyBorder="1" applyFont="1">
      <alignment horizontal="center" vertical="center"/>
    </xf>
    <xf borderId="32" fillId="0" fontId="24" numFmtId="0" xfId="0" applyAlignment="1" applyBorder="1" applyFont="1">
      <alignment horizontal="center" vertical="center"/>
    </xf>
    <xf borderId="28" fillId="0" fontId="23" numFmtId="0" xfId="0" applyAlignment="1" applyBorder="1" applyFont="1">
      <alignment horizontal="center" vertical="center"/>
    </xf>
    <xf borderId="28" fillId="0" fontId="47" numFmtId="0" xfId="0" applyAlignment="1" applyBorder="1" applyFont="1">
      <alignment horizontal="center" vertical="center"/>
    </xf>
    <xf borderId="28" fillId="0" fontId="23" numFmtId="0" xfId="0" applyAlignment="1" applyBorder="1" applyFont="1">
      <alignment horizontal="center" readingOrder="0" vertical="center"/>
    </xf>
    <xf borderId="32" fillId="0" fontId="33" numFmtId="0" xfId="0" applyAlignment="1" applyBorder="1" applyFont="1">
      <alignment horizontal="center" readingOrder="0" vertical="center"/>
    </xf>
    <xf borderId="46" fillId="8" fontId="29" numFmtId="0" xfId="0" applyAlignment="1" applyBorder="1" applyFill="1" applyFont="1">
      <alignment horizontal="center" readingOrder="0" vertical="center"/>
    </xf>
    <xf borderId="0" fillId="0" fontId="66" numFmtId="0" xfId="0" applyAlignment="1" applyFont="1">
      <alignment horizontal="center" readingOrder="0" shrinkToFit="0" vertical="center" wrapText="0"/>
    </xf>
    <xf borderId="14" fillId="8" fontId="67" numFmtId="0" xfId="0" applyAlignment="1" applyBorder="1" applyFont="1">
      <alignment horizontal="center" readingOrder="0" vertical="center"/>
    </xf>
    <xf borderId="28" fillId="0" fontId="47" numFmtId="0" xfId="0" applyAlignment="1" applyBorder="1" applyFont="1">
      <alignment horizontal="center" readingOrder="0" vertical="center"/>
    </xf>
    <xf borderId="8" fillId="0" fontId="25" numFmtId="0" xfId="0" applyAlignment="1" applyBorder="1" applyFont="1">
      <alignment horizontal="center" readingOrder="0" vertical="center"/>
    </xf>
    <xf borderId="28" fillId="3" fontId="47" numFmtId="0" xfId="0" applyAlignment="1" applyBorder="1" applyFont="1">
      <alignment horizontal="center" vertical="center"/>
    </xf>
    <xf borderId="32" fillId="0" fontId="30" numFmtId="0" xfId="0" applyAlignment="1" applyBorder="1" applyFont="1">
      <alignment horizontal="center" vertical="center"/>
    </xf>
    <xf borderId="32" fillId="3" fontId="68" numFmtId="0" xfId="0" applyAlignment="1" applyBorder="1" applyFont="1">
      <alignment horizontal="center" vertical="center"/>
    </xf>
    <xf borderId="32" fillId="3" fontId="48" numFmtId="0" xfId="0" applyAlignment="1" applyBorder="1" applyFont="1">
      <alignment horizontal="center" vertical="center"/>
    </xf>
    <xf borderId="8" fillId="3" fontId="25" numFmtId="0" xfId="0" applyAlignment="1" applyBorder="1" applyFont="1">
      <alignment horizontal="center" vertical="center"/>
    </xf>
    <xf borderId="0" fillId="3" fontId="47" numFmtId="0" xfId="0" applyAlignment="1" applyFont="1">
      <alignment horizontal="center" shrinkToFit="0" wrapText="0"/>
    </xf>
    <xf borderId="32" fillId="0" fontId="48" numFmtId="0" xfId="0" applyAlignment="1" applyBorder="1" applyFont="1">
      <alignment horizontal="center" readingOrder="0" vertical="center"/>
    </xf>
    <xf borderId="8" fillId="0" fontId="31" numFmtId="0" xfId="0" applyAlignment="1" applyBorder="1" applyFont="1">
      <alignment horizontal="center" readingOrder="0" vertical="center"/>
    </xf>
    <xf borderId="14" fillId="3" fontId="47" numFmtId="0" xfId="0" applyAlignment="1" applyBorder="1" applyFont="1">
      <alignment horizontal="center" shrinkToFit="0" wrapText="0"/>
    </xf>
    <xf borderId="50" fillId="8" fontId="29" numFmtId="0" xfId="0" applyAlignment="1" applyBorder="1" applyFont="1">
      <alignment horizontal="center" readingOrder="0" vertical="center"/>
    </xf>
    <xf borderId="32" fillId="3" fontId="24" numFmtId="0" xfId="0" applyAlignment="1" applyBorder="1" applyFont="1">
      <alignment horizontal="center" vertical="center"/>
    </xf>
    <xf borderId="32" fillId="3" fontId="33" numFmtId="0" xfId="0" applyAlignment="1" applyBorder="1" applyFont="1">
      <alignment horizontal="center" readingOrder="0" vertical="center"/>
    </xf>
    <xf borderId="31" fillId="4" fontId="23" numFmtId="0" xfId="0" applyAlignment="1" applyBorder="1" applyFont="1">
      <alignment horizontal="center" readingOrder="0" vertical="center"/>
    </xf>
    <xf borderId="37" fillId="0" fontId="47" numFmtId="0" xfId="0" applyAlignment="1" applyBorder="1" applyFont="1">
      <alignment horizontal="center" readingOrder="0" vertical="center"/>
    </xf>
    <xf borderId="5" fillId="3" fontId="48" numFmtId="0" xfId="0" applyAlignment="1" applyBorder="1" applyFont="1">
      <alignment horizontal="center" vertical="center"/>
    </xf>
    <xf borderId="5" fillId="0" fontId="33" numFmtId="0" xfId="0" applyAlignment="1" applyBorder="1" applyFont="1">
      <alignment horizontal="center" readingOrder="0" vertical="center"/>
    </xf>
    <xf borderId="5" fillId="3" fontId="24" numFmtId="0" xfId="0" applyAlignment="1" applyBorder="1" applyFont="1">
      <alignment horizontal="center" readingOrder="0" vertical="center"/>
    </xf>
    <xf borderId="5" fillId="0" fontId="31" numFmtId="0" xfId="0" applyAlignment="1" applyBorder="1" applyFont="1">
      <alignment horizontal="center" readingOrder="0" vertical="center"/>
    </xf>
    <xf borderId="28" fillId="3" fontId="23" numFmtId="0" xfId="0" applyAlignment="1" applyBorder="1" applyFont="1">
      <alignment horizontal="center" vertical="center"/>
    </xf>
    <xf borderId="31" fillId="4" fontId="23" numFmtId="0" xfId="0" applyAlignment="1" applyBorder="1" applyFont="1">
      <alignment horizontal="center" vertical="center"/>
    </xf>
    <xf borderId="51" fillId="4" fontId="24" numFmtId="0" xfId="0" applyAlignment="1" applyBorder="1" applyFont="1">
      <alignment horizontal="center" readingOrder="0" vertical="center"/>
    </xf>
    <xf borderId="39" fillId="3" fontId="11" numFmtId="0" xfId="0" applyAlignment="1" applyBorder="1" applyFont="1">
      <alignment horizontal="center" readingOrder="0" shrinkToFit="0" vertical="center" wrapText="1"/>
    </xf>
    <xf borderId="52" fillId="7" fontId="3" numFmtId="0" xfId="0" applyAlignment="1" applyBorder="1" applyFont="1">
      <alignment horizontal="center" readingOrder="0" vertical="center"/>
    </xf>
    <xf borderId="0" fillId="0" fontId="69" numFmtId="0" xfId="0" applyAlignment="1" applyFont="1">
      <alignment horizontal="center" vertical="center"/>
    </xf>
    <xf borderId="0" fillId="3" fontId="70" numFmtId="0" xfId="0" applyAlignment="1" applyFont="1">
      <alignment horizontal="center" vertical="center"/>
    </xf>
    <xf borderId="0" fillId="0" fontId="32" numFmtId="0" xfId="0" applyAlignment="1" applyFont="1">
      <alignment horizontal="center" readingOrder="0" vertical="center"/>
    </xf>
    <xf borderId="0" fillId="3" fontId="32" numFmtId="0" xfId="0" applyAlignment="1" applyFont="1">
      <alignment horizontal="center" vertical="center"/>
    </xf>
    <xf borderId="0" fillId="3" fontId="62" numFmtId="0" xfId="0" applyAlignment="1" applyFont="1">
      <alignment horizontal="center" readingOrder="0" vertical="center"/>
    </xf>
    <xf borderId="0" fillId="3" fontId="63" numFmtId="0" xfId="0" applyAlignment="1" applyFont="1">
      <alignment horizontal="center" readingOrder="0" vertical="center"/>
    </xf>
    <xf borderId="33" fillId="3" fontId="11" numFmtId="0" xfId="0" applyAlignment="1" applyBorder="1" applyFont="1">
      <alignment horizontal="center" readingOrder="0" shrinkToFit="0" vertical="center" wrapText="1"/>
    </xf>
    <xf borderId="0" fillId="3" fontId="32" numFmtId="0" xfId="0" applyAlignment="1" applyFont="1">
      <alignment horizontal="center" readingOrder="0" vertical="center"/>
    </xf>
    <xf borderId="30" fillId="3" fontId="29" numFmtId="0" xfId="0" applyAlignment="1" applyBorder="1" applyFont="1">
      <alignment horizontal="center" readingOrder="0" shrinkToFit="0" vertical="center" wrapText="1"/>
    </xf>
    <xf borderId="0" fillId="7" fontId="14" numFmtId="0" xfId="0" applyAlignment="1" applyFont="1">
      <alignment horizontal="center" readingOrder="0"/>
    </xf>
    <xf borderId="8" fillId="7" fontId="3" numFmtId="0" xfId="0" applyAlignment="1" applyBorder="1" applyFont="1">
      <alignment horizontal="center" readingOrder="0" vertical="center"/>
    </xf>
    <xf borderId="0" fillId="3" fontId="11" numFmtId="0" xfId="0" applyAlignment="1" applyFont="1">
      <alignment horizontal="center" readingOrder="0" vertical="center"/>
    </xf>
    <xf borderId="51" fillId="4" fontId="11" numFmtId="0" xfId="0" applyAlignment="1" applyBorder="1" applyFont="1">
      <alignment horizontal="center" readingOrder="0" vertical="center"/>
    </xf>
    <xf borderId="0" fillId="0" fontId="41" numFmtId="0" xfId="0" applyAlignment="1" applyFont="1">
      <alignment horizontal="center" vertical="center"/>
    </xf>
    <xf borderId="32" fillId="3" fontId="71" numFmtId="0" xfId="0" applyAlignment="1" applyBorder="1" applyFont="1">
      <alignment horizontal="center" readingOrder="0" vertical="center"/>
    </xf>
    <xf borderId="39" fillId="0" fontId="23" numFmtId="0" xfId="0" applyAlignment="1" applyBorder="1" applyFont="1">
      <alignment horizontal="center" vertical="center"/>
    </xf>
    <xf borderId="34" fillId="3" fontId="71" numFmtId="0" xfId="0" applyAlignment="1" applyBorder="1" applyFont="1">
      <alignment horizontal="center" readingOrder="0" vertical="center"/>
    </xf>
    <xf borderId="34" fillId="3" fontId="24" numFmtId="0" xfId="0" applyAlignment="1" applyBorder="1" applyFont="1">
      <alignment horizontal="center" vertical="center"/>
    </xf>
    <xf borderId="0" fillId="3" fontId="69" numFmtId="0" xfId="0" applyAlignment="1" applyFont="1">
      <alignment horizontal="center" vertical="center"/>
    </xf>
    <xf borderId="0" fillId="3" fontId="72" numFmtId="0" xfId="0" applyAlignment="1" applyFont="1">
      <alignment horizontal="center" vertical="center"/>
    </xf>
    <xf borderId="0" fillId="3" fontId="11" numFmtId="0" xfId="0" applyAlignment="1" applyFont="1">
      <alignment horizontal="center" vertical="center"/>
    </xf>
    <xf borderId="0" fillId="3" fontId="73" numFmtId="0" xfId="0" applyAlignment="1" applyFont="1">
      <alignment horizontal="center" vertical="center"/>
    </xf>
    <xf borderId="0" fillId="3" fontId="66" numFmtId="0" xfId="0" applyAlignment="1" applyFont="1">
      <alignment horizontal="center" vertical="center"/>
    </xf>
    <xf borderId="0" fillId="3" fontId="74" numFmtId="0" xfId="0" applyAlignment="1" applyFont="1">
      <alignment horizontal="center" vertical="center"/>
    </xf>
    <xf borderId="0" fillId="0" fontId="65" numFmtId="0" xfId="0" applyAlignment="1" applyFont="1">
      <alignment horizontal="center" readingOrder="0" vertical="center"/>
    </xf>
    <xf borderId="0" fillId="0" fontId="75" numFmtId="0" xfId="0" applyAlignment="1" applyFont="1">
      <alignment horizontal="center" vertical="center"/>
    </xf>
    <xf borderId="0" fillId="0" fontId="66" numFmtId="0" xfId="0" applyAlignment="1" applyFont="1">
      <alignment horizontal="center" vertical="center"/>
    </xf>
    <xf borderId="0" fillId="0" fontId="74" numFmtId="0" xfId="0" applyAlignment="1" applyFont="1">
      <alignment horizontal="center" vertical="center"/>
    </xf>
    <xf borderId="0" fillId="0" fontId="5" numFmtId="0" xfId="0" applyAlignment="1" applyFont="1">
      <alignment horizontal="center" readingOrder="0" vertical="center"/>
    </xf>
    <xf borderId="0" fillId="3" fontId="60" numFmtId="0" xfId="0" applyAlignment="1" applyFont="1">
      <alignment horizontal="center" readingOrder="0" vertical="center"/>
    </xf>
    <xf borderId="0" fillId="0" fontId="5" numFmtId="0" xfId="0" applyAlignment="1" applyFont="1">
      <alignment horizontal="center" readingOrder="0" vertical="center"/>
    </xf>
    <xf borderId="0" fillId="0" fontId="60" numFmtId="0" xfId="0" applyAlignment="1" applyFont="1">
      <alignment horizontal="center" readingOrder="0" vertical="center"/>
    </xf>
    <xf borderId="0" fillId="0" fontId="29" numFmtId="0" xfId="0" applyAlignment="1" applyFont="1">
      <alignment horizontal="center" readingOrder="0" vertical="center"/>
    </xf>
    <xf borderId="0" fillId="0" fontId="73" numFmtId="0" xfId="0" applyAlignment="1" applyFont="1">
      <alignment horizontal="center" readingOrder="0" vertical="center"/>
    </xf>
    <xf borderId="30" fillId="0" fontId="23" numFmtId="0" xfId="0" applyAlignment="1" applyBorder="1" applyFont="1">
      <alignment horizontal="center" readingOrder="0" vertical="center"/>
    </xf>
    <xf borderId="34" fillId="3" fontId="33" numFmtId="0" xfId="0" applyAlignment="1" applyBorder="1" applyFont="1">
      <alignment horizontal="center" readingOrder="0" vertical="center"/>
    </xf>
    <xf borderId="21" fillId="2" fontId="76" numFmtId="0" xfId="0" applyAlignment="1" applyBorder="1" applyFont="1">
      <alignment horizontal="center" readingOrder="0" vertical="center"/>
    </xf>
    <xf borderId="0" fillId="3" fontId="53" numFmtId="0" xfId="0" applyAlignment="1" applyFont="1">
      <alignment horizontal="center" readingOrder="0" vertical="center"/>
    </xf>
    <xf borderId="8" fillId="3" fontId="31" numFmtId="0" xfId="0" applyAlignment="1" applyBorder="1" applyFont="1">
      <alignment horizontal="center" readingOrder="0" vertical="center"/>
    </xf>
    <xf borderId="33" fillId="0" fontId="23" numFmtId="0" xfId="0" applyAlignment="1" applyBorder="1" applyFont="1">
      <alignment horizontal="center" readingOrder="0" vertical="center"/>
    </xf>
    <xf borderId="36" fillId="3" fontId="31" numFmtId="0" xfId="0" applyAlignment="1" applyBorder="1" applyFont="1">
      <alignment horizontal="center" readingOrder="0" vertical="center"/>
    </xf>
    <xf borderId="0" fillId="3" fontId="32" numFmtId="0" xfId="0" applyAlignment="1" applyFont="1">
      <alignment horizontal="left" readingOrder="0" vertical="center"/>
    </xf>
    <xf borderId="8" fillId="7" fontId="14" numFmtId="0" xfId="0" applyAlignment="1" applyBorder="1" applyFont="1">
      <alignment horizontal="center" readingOrder="0" vertical="center"/>
    </xf>
    <xf borderId="32" fillId="3" fontId="24" numFmtId="0" xfId="0" applyAlignment="1" applyBorder="1" applyFont="1">
      <alignment horizontal="center" vertical="center"/>
    </xf>
    <xf borderId="0" fillId="0" fontId="46" numFmtId="0" xfId="0" applyAlignment="1" applyFont="1">
      <alignment horizontal="center" vertical="center"/>
    </xf>
    <xf borderId="0" fillId="3" fontId="73" numFmtId="0" xfId="0" applyAlignment="1" applyFont="1">
      <alignment horizontal="center" readingOrder="0" vertical="center"/>
    </xf>
    <xf borderId="0" fillId="3" fontId="77" numFmtId="0" xfId="0" applyAlignment="1" applyFont="1">
      <alignment horizontal="center" readingOrder="0" vertical="center"/>
    </xf>
    <xf borderId="0" fillId="3" fontId="78" numFmtId="0" xfId="0" applyAlignment="1" applyFont="1">
      <alignment horizontal="center" readingOrder="0" vertical="center"/>
    </xf>
    <xf borderId="0" fillId="0" fontId="31" numFmtId="0" xfId="0" applyAlignment="1" applyFont="1">
      <alignment horizontal="center" vertical="center"/>
    </xf>
    <xf borderId="25" fillId="6" fontId="79" numFmtId="0" xfId="0" applyAlignment="1" applyBorder="1" applyFont="1">
      <alignment horizontal="center" readingOrder="0" vertical="center"/>
    </xf>
    <xf borderId="0" fillId="0" fontId="69" numFmtId="0" xfId="0" applyAlignment="1" applyFont="1">
      <alignment horizontal="center" readingOrder="0" shrinkToFit="0" vertical="center" wrapText="0"/>
    </xf>
    <xf borderId="49" fillId="0" fontId="23" numFmtId="0" xfId="0" applyAlignment="1" applyBorder="1" applyFont="1">
      <alignment horizontal="center" vertical="center"/>
    </xf>
    <xf borderId="24" fillId="0" fontId="24" numFmtId="0" xfId="0" applyAlignment="1" applyBorder="1" applyFont="1">
      <alignment horizontal="center" vertical="center"/>
    </xf>
    <xf borderId="24" fillId="0" fontId="33" numFmtId="0" xfId="0" applyAlignment="1" applyBorder="1" applyFont="1">
      <alignment horizontal="center" readingOrder="0" vertical="center"/>
    </xf>
    <xf borderId="38" fillId="3" fontId="30" numFmtId="0" xfId="0" applyAlignment="1" applyBorder="1" applyFont="1">
      <alignment horizontal="center" readingOrder="0" vertical="center"/>
    </xf>
    <xf borderId="0" fillId="0" fontId="25" numFmtId="0" xfId="0" applyAlignment="1" applyFont="1">
      <alignment horizontal="center" readingOrder="0" vertical="center"/>
    </xf>
    <xf borderId="53" fillId="4" fontId="24" numFmtId="0" xfId="0" applyAlignment="1" applyBorder="1" applyFont="1">
      <alignment horizontal="center" readingOrder="0" vertical="center"/>
    </xf>
    <xf borderId="12" fillId="0" fontId="23" numFmtId="0" xfId="0" applyAlignment="1" applyBorder="1" applyFont="1">
      <alignment horizontal="center" readingOrder="0" vertical="center"/>
    </xf>
    <xf borderId="36" fillId="7" fontId="3" numFmtId="0" xfId="0" applyAlignment="1" applyBorder="1" applyFont="1">
      <alignment horizontal="center" readingOrder="0" vertical="center"/>
    </xf>
    <xf borderId="11" fillId="5" fontId="3" numFmtId="0" xfId="0" applyAlignment="1" applyBorder="1" applyFont="1">
      <alignment horizontal="center" readingOrder="0" vertical="center"/>
    </xf>
    <xf borderId="12" fillId="3" fontId="3" numFmtId="0" xfId="0" applyAlignment="1" applyBorder="1" applyFont="1">
      <alignment horizontal="center" readingOrder="0" vertical="center"/>
    </xf>
    <xf borderId="11" fillId="2" fontId="80" numFmtId="0" xfId="0" applyAlignment="1" applyBorder="1" applyFont="1">
      <alignment horizontal="center" readingOrder="0" vertical="center"/>
    </xf>
    <xf borderId="16" fillId="0" fontId="2" numFmtId="0" xfId="0" applyBorder="1" applyFont="1"/>
    <xf borderId="21" fillId="0" fontId="20" numFmtId="0" xfId="0" applyAlignment="1" applyBorder="1" applyFont="1">
      <alignment horizontal="center" readingOrder="0" vertical="center"/>
    </xf>
    <xf borderId="14" fillId="3" fontId="32" numFmtId="0" xfId="0" applyAlignment="1" applyBorder="1" applyFont="1">
      <alignment horizontal="center" readingOrder="0" vertical="center"/>
    </xf>
    <xf borderId="25" fillId="6" fontId="81" numFmtId="0" xfId="0" applyAlignment="1" applyBorder="1" applyFont="1">
      <alignment horizontal="center" readingOrder="0" shrinkToFit="0" vertical="center" wrapText="1"/>
    </xf>
    <xf borderId="0" fillId="3" fontId="82" numFmtId="0" xfId="0" applyAlignment="1" applyFont="1">
      <alignment horizontal="center" readingOrder="0" vertical="center"/>
    </xf>
    <xf borderId="8" fillId="3" fontId="11" numFmtId="0" xfId="0" applyAlignment="1" applyBorder="1" applyFont="1">
      <alignment horizontal="center" readingOrder="0" vertical="center"/>
    </xf>
    <xf borderId="30" fillId="0" fontId="23" numFmtId="0" xfId="0" applyAlignment="1" applyBorder="1" applyFont="1">
      <alignment horizontal="center" readingOrder="0" vertical="center"/>
    </xf>
    <xf borderId="4" fillId="0" fontId="24" numFmtId="0" xfId="0" applyAlignment="1" applyBorder="1" applyFont="1">
      <alignment horizontal="center" readingOrder="0" vertical="center"/>
    </xf>
    <xf borderId="4" fillId="0" fontId="24" numFmtId="0" xfId="0" applyAlignment="1" applyBorder="1" applyFont="1">
      <alignment horizontal="center" vertical="center"/>
    </xf>
    <xf borderId="3" fillId="0" fontId="24" numFmtId="0" xfId="0" applyAlignment="1" applyBorder="1" applyFont="1">
      <alignment horizontal="center" readingOrder="0" vertical="center"/>
    </xf>
    <xf borderId="8" fillId="0" fontId="83" numFmtId="0" xfId="0" applyAlignment="1" applyBorder="1" applyFont="1">
      <alignment horizontal="center" readingOrder="0" vertical="center"/>
    </xf>
    <xf borderId="0" fillId="3" fontId="84" numFmtId="0" xfId="0" applyAlignment="1" applyFont="1">
      <alignment horizontal="center" readingOrder="0" vertical="center"/>
    </xf>
    <xf borderId="4" fillId="3" fontId="24" numFmtId="0" xfId="0" applyAlignment="1" applyBorder="1" applyFont="1">
      <alignment horizontal="center" vertical="center"/>
    </xf>
    <xf borderId="0" fillId="3" fontId="85" numFmtId="0" xfId="0" applyAlignment="1" applyFont="1">
      <alignment horizontal="center" readingOrder="0" vertical="center"/>
    </xf>
    <xf borderId="4" fillId="3" fontId="24" numFmtId="0" xfId="0" applyAlignment="1" applyBorder="1" applyFont="1">
      <alignment horizontal="center" readingOrder="0" vertical="center"/>
    </xf>
    <xf borderId="8" fillId="0" fontId="25" numFmtId="0" xfId="0" applyAlignment="1" applyBorder="1" applyFont="1">
      <alignment horizontal="center" readingOrder="0" vertical="center"/>
    </xf>
    <xf borderId="28" fillId="0" fontId="23" numFmtId="0" xfId="0" applyAlignment="1" applyBorder="1" applyFont="1">
      <alignment horizontal="center" readingOrder="0" vertical="center"/>
    </xf>
    <xf borderId="38" fillId="3" fontId="24" numFmtId="0" xfId="0" applyAlignment="1" applyBorder="1" applyFont="1">
      <alignment horizontal="center" vertical="center"/>
    </xf>
    <xf borderId="38" fillId="0" fontId="24" numFmtId="0" xfId="0" applyAlignment="1" applyBorder="1" applyFont="1">
      <alignment horizontal="center" vertical="center"/>
    </xf>
    <xf borderId="38" fillId="0" fontId="24" numFmtId="0" xfId="0" applyAlignment="1" applyBorder="1" applyFont="1">
      <alignment horizontal="center" readingOrder="0" vertical="center"/>
    </xf>
    <xf borderId="5" fillId="0" fontId="25" numFmtId="0" xfId="0" applyAlignment="1" applyBorder="1" applyFont="1">
      <alignment horizontal="center" readingOrder="0" vertical="center"/>
    </xf>
    <xf borderId="18" fillId="0" fontId="15" numFmtId="0" xfId="0" applyAlignment="1" applyBorder="1" applyFont="1">
      <alignment horizontal="center" readingOrder="0" shrinkToFit="0" vertical="center" wrapText="1"/>
    </xf>
    <xf borderId="21" fillId="4" fontId="14" numFmtId="0" xfId="0" applyAlignment="1" applyBorder="1" applyFont="1">
      <alignment horizontal="center" readingOrder="0" vertical="center"/>
    </xf>
    <xf borderId="0" fillId="3" fontId="25" numFmtId="0" xfId="0" applyAlignment="1" applyFont="1">
      <alignment horizontal="center" readingOrder="0" vertical="center"/>
    </xf>
    <xf borderId="0" fillId="3" fontId="62" numFmtId="0" xfId="0" applyAlignment="1" applyFont="1">
      <alignment horizontal="center" vertical="center"/>
    </xf>
    <xf borderId="25" fillId="6" fontId="12" numFmtId="0" xfId="0" applyAlignment="1" applyBorder="1" applyFont="1">
      <alignment horizontal="center" readingOrder="0" shrinkToFit="0" vertical="center" wrapText="1"/>
    </xf>
    <xf borderId="28" fillId="3" fontId="29" numFmtId="0" xfId="0" applyAlignment="1" applyBorder="1" applyFont="1">
      <alignment horizontal="center" readingOrder="0" shrinkToFit="0" vertical="center" wrapText="1"/>
    </xf>
    <xf borderId="8" fillId="7" fontId="3" numFmtId="0" xfId="0" applyAlignment="1" applyBorder="1" applyFont="1">
      <alignment horizontal="center" readingOrder="0" vertical="center"/>
    </xf>
    <xf borderId="28" fillId="0" fontId="11" numFmtId="0" xfId="0" applyAlignment="1" applyBorder="1" applyFont="1">
      <alignment horizontal="center" readingOrder="0" vertical="center"/>
    </xf>
    <xf borderId="32" fillId="0" fontId="11" numFmtId="0" xfId="0" applyAlignment="1" applyBorder="1" applyFont="1">
      <alignment horizontal="center" readingOrder="0" vertical="center"/>
    </xf>
    <xf borderId="38" fillId="0" fontId="11" numFmtId="0" xfId="0" applyAlignment="1" applyBorder="1" applyFont="1">
      <alignment horizontal="center" readingOrder="0" vertical="center"/>
    </xf>
    <xf borderId="8" fillId="3" fontId="11" numFmtId="0" xfId="0" applyAlignment="1" applyBorder="1" applyFont="1">
      <alignment horizontal="center" readingOrder="0" vertical="center"/>
    </xf>
    <xf borderId="8" fillId="0" fontId="24" numFmtId="0" xfId="0" applyAlignment="1" applyBorder="1" applyFont="1">
      <alignment horizontal="center" readingOrder="0" vertical="center"/>
    </xf>
    <xf borderId="9" fillId="0" fontId="25" numFmtId="0" xfId="0" applyAlignment="1" applyBorder="1" applyFont="1">
      <alignment horizontal="center" readingOrder="0" vertical="center"/>
    </xf>
    <xf borderId="0" fillId="3" fontId="24" numFmtId="0" xfId="0" applyAlignment="1" applyFont="1">
      <alignment horizontal="center" readingOrder="0" shrinkToFit="0" vertical="center" wrapText="0"/>
    </xf>
    <xf borderId="34" fillId="3" fontId="48" numFmtId="0" xfId="0" applyAlignment="1" applyBorder="1" applyFont="1">
      <alignment horizontal="center" vertical="center"/>
    </xf>
    <xf borderId="36" fillId="0" fontId="24" numFmtId="0" xfId="0" applyAlignment="1" applyBorder="1" applyFont="1">
      <alignment horizontal="center" readingOrder="0" vertical="center"/>
    </xf>
    <xf borderId="34" fillId="3" fontId="48" numFmtId="0" xfId="0" applyAlignment="1" applyBorder="1" applyFont="1">
      <alignment horizontal="center" readingOrder="0" vertical="center"/>
    </xf>
    <xf borderId="19" fillId="0" fontId="25" numFmtId="0" xfId="0" applyAlignment="1" applyBorder="1" applyFont="1">
      <alignment horizontal="center" readingOrder="0" vertical="center"/>
    </xf>
    <xf borderId="0" fillId="3" fontId="30" numFmtId="0" xfId="0" applyAlignment="1" applyFont="1">
      <alignment readingOrder="0" vertical="center"/>
    </xf>
    <xf borderId="28" fillId="3" fontId="11" numFmtId="0" xfId="0" applyAlignment="1" applyBorder="1" applyFont="1">
      <alignment horizontal="center" readingOrder="0" vertical="center"/>
    </xf>
    <xf borderId="53" fillId="4" fontId="11" numFmtId="0" xfId="0" applyAlignment="1" applyBorder="1" applyFont="1">
      <alignment horizontal="center" readingOrder="0" vertical="center"/>
    </xf>
    <xf borderId="8" fillId="3" fontId="25" numFmtId="0" xfId="0" applyAlignment="1" applyBorder="1" applyFont="1">
      <alignment horizontal="center" readingOrder="0" vertical="center"/>
    </xf>
    <xf borderId="36" fillId="3" fontId="25" numFmtId="0" xfId="0" applyAlignment="1" applyBorder="1" applyFont="1">
      <alignment horizontal="center" readingOrder="0" vertical="center"/>
    </xf>
    <xf borderId="0" fillId="3" fontId="32" numFmtId="0" xfId="0" applyAlignment="1" applyFont="1">
      <alignment horizontal="center" readingOrder="0" shrinkToFit="0" vertical="center" wrapText="1"/>
    </xf>
    <xf borderId="0" fillId="0" fontId="1" numFmtId="0" xfId="0" applyAlignment="1" applyFont="1">
      <alignment readingOrder="0"/>
    </xf>
    <xf borderId="28" fillId="3" fontId="11" numFmtId="0" xfId="0" applyAlignment="1" applyBorder="1" applyFont="1">
      <alignment horizontal="center" shrinkToFit="0" wrapText="1"/>
    </xf>
    <xf borderId="9" fillId="7" fontId="3" numFmtId="0" xfId="0" applyAlignment="1" applyBorder="1" applyFont="1">
      <alignment horizontal="center" readingOrder="0"/>
    </xf>
    <xf borderId="30" fillId="3" fontId="11" numFmtId="0" xfId="0" applyAlignment="1" applyBorder="1" applyFont="1">
      <alignment horizontal="center"/>
    </xf>
    <xf borderId="4" fillId="3" fontId="11" numFmtId="0" xfId="0" applyAlignment="1" applyBorder="1" applyFont="1">
      <alignment horizontal="center"/>
    </xf>
    <xf borderId="29" fillId="3" fontId="29" numFmtId="0" xfId="0" applyAlignment="1" applyBorder="1" applyFont="1">
      <alignment horizontal="center"/>
    </xf>
    <xf borderId="17" fillId="4" fontId="11" numFmtId="0" xfId="0" applyAlignment="1" applyBorder="1" applyFont="1">
      <alignment horizontal="center"/>
    </xf>
    <xf borderId="30" fillId="3" fontId="23" numFmtId="0" xfId="0" applyAlignment="1" applyBorder="1" applyFont="1">
      <alignment horizontal="center"/>
    </xf>
    <xf borderId="4" fillId="0" fontId="24" numFmtId="0" xfId="0" applyAlignment="1" applyBorder="1" applyFont="1">
      <alignment horizontal="center"/>
    </xf>
    <xf borderId="4" fillId="3" fontId="24" numFmtId="0" xfId="0" applyAlignment="1" applyBorder="1" applyFont="1">
      <alignment horizontal="center"/>
    </xf>
    <xf borderId="4" fillId="3" fontId="24" numFmtId="0" xfId="0" applyAlignment="1" applyBorder="1" applyFont="1">
      <alignment horizontal="center"/>
    </xf>
    <xf borderId="29" fillId="0" fontId="31" numFmtId="0" xfId="0" applyAlignment="1" applyBorder="1" applyFont="1">
      <alignment horizontal="center"/>
    </xf>
    <xf borderId="17" fillId="4" fontId="32" numFmtId="0" xfId="0" applyBorder="1" applyFont="1"/>
    <xf borderId="30" fillId="3" fontId="23" numFmtId="0" xfId="0" applyAlignment="1" applyBorder="1" applyFont="1">
      <alignment horizontal="center"/>
    </xf>
    <xf borderId="33" fillId="3" fontId="23" numFmtId="0" xfId="0" applyAlignment="1" applyBorder="1" applyFont="1">
      <alignment horizontal="center"/>
    </xf>
    <xf borderId="35" fillId="0" fontId="24" numFmtId="0" xfId="0" applyAlignment="1" applyBorder="1" applyFont="1">
      <alignment horizontal="center"/>
    </xf>
    <xf borderId="35" fillId="3" fontId="24" numFmtId="0" xfId="0" applyAlignment="1" applyBorder="1" applyFont="1">
      <alignment horizontal="center"/>
    </xf>
    <xf borderId="35" fillId="3" fontId="24" numFmtId="0" xfId="0" applyAlignment="1" applyBorder="1" applyFont="1">
      <alignment horizontal="center"/>
    </xf>
    <xf borderId="17" fillId="0" fontId="31" numFmtId="0" xfId="0" applyAlignment="1" applyBorder="1" applyFont="1">
      <alignment horizontal="center"/>
    </xf>
    <xf borderId="11" fillId="6" fontId="12" numFmtId="0" xfId="0" applyAlignment="1" applyBorder="1" applyFont="1">
      <alignment horizontal="center" readingOrder="0" shrinkToFit="0" vertical="center" wrapText="1"/>
    </xf>
    <xf borderId="30" fillId="0" fontId="29" numFmtId="0" xfId="0" applyAlignment="1" applyBorder="1" applyFont="1">
      <alignment horizontal="center" readingOrder="0" vertical="center"/>
    </xf>
    <xf borderId="4" fillId="0" fontId="29" numFmtId="0" xfId="0" applyAlignment="1" applyBorder="1" applyFont="1">
      <alignment horizontal="center" readingOrder="0" vertical="center"/>
    </xf>
    <xf borderId="4" fillId="3" fontId="29" numFmtId="0" xfId="0" applyAlignment="1" applyBorder="1" applyFont="1">
      <alignment horizontal="center" vertical="center"/>
    </xf>
    <xf borderId="2" fillId="3" fontId="29" numFmtId="0" xfId="0" applyAlignment="1" applyBorder="1" applyFont="1">
      <alignment horizontal="center" readingOrder="0" vertical="center"/>
    </xf>
    <xf borderId="30" fillId="0" fontId="47" numFmtId="0" xfId="0" applyAlignment="1" applyBorder="1" applyFont="1">
      <alignment horizontal="center" vertical="center"/>
    </xf>
    <xf borderId="4" fillId="3" fontId="24" numFmtId="0" xfId="0" applyAlignment="1" applyBorder="1" applyFont="1">
      <alignment horizontal="center" readingOrder="0" vertical="center"/>
    </xf>
    <xf borderId="8" fillId="3" fontId="32" numFmtId="0" xfId="0" applyAlignment="1" applyBorder="1" applyFont="1">
      <alignment vertical="center"/>
    </xf>
    <xf borderId="31" fillId="4" fontId="32" numFmtId="0" xfId="0" applyAlignment="1" applyBorder="1" applyFont="1">
      <alignment vertical="center"/>
    </xf>
    <xf borderId="24" fillId="3" fontId="48" numFmtId="0" xfId="0" applyAlignment="1" applyBorder="1" applyFont="1">
      <alignment horizontal="center" readingOrder="0" vertical="center"/>
    </xf>
    <xf borderId="24" fillId="0" fontId="48" numFmtId="0" xfId="0" applyAlignment="1" applyBorder="1" applyFont="1">
      <alignment horizontal="center" readingOrder="0" vertical="center"/>
    </xf>
    <xf borderId="24" fillId="3" fontId="24" numFmtId="0" xfId="0" applyAlignment="1" applyBorder="1" applyFont="1">
      <alignment horizontal="center" readingOrder="0" vertical="center"/>
    </xf>
    <xf borderId="5" fillId="3" fontId="32" numFmtId="0" xfId="0" applyAlignment="1" applyBorder="1" applyFont="1">
      <alignment vertical="center"/>
    </xf>
    <xf borderId="18" fillId="3" fontId="11" numFmtId="0" xfId="0" applyAlignment="1" applyBorder="1" applyFont="1">
      <alignment horizontal="center" readingOrder="0" shrinkToFit="0" vertical="center" wrapText="1"/>
    </xf>
    <xf borderId="21" fillId="4" fontId="14" numFmtId="0" xfId="0" applyAlignment="1" applyBorder="1" applyFont="1">
      <alignment horizontal="center" vertical="center"/>
    </xf>
    <xf borderId="0" fillId="3" fontId="47" numFmtId="0" xfId="0" applyAlignment="1" applyFont="1">
      <alignment horizontal="center" vertical="center"/>
    </xf>
    <xf borderId="0" fillId="3" fontId="48" numFmtId="0" xfId="0" applyAlignment="1" applyFont="1">
      <alignment horizontal="center" readingOrder="0" vertical="center"/>
    </xf>
    <xf borderId="0" fillId="3" fontId="24" numFmtId="0" xfId="0" applyAlignment="1" applyFont="1">
      <alignment horizontal="center" readingOrder="0" vertical="center"/>
    </xf>
    <xf borderId="0" fillId="3" fontId="32" numFmtId="0" xfId="0" applyAlignment="1" applyFont="1">
      <alignment vertical="center"/>
    </xf>
    <xf borderId="0" fillId="3" fontId="19" numFmtId="0" xfId="0" applyAlignment="1" applyFont="1">
      <alignment horizontal="center" readingOrder="0" vertical="center"/>
    </xf>
    <xf borderId="0" fillId="3" fontId="36" numFmtId="0" xfId="0" applyAlignment="1" applyFont="1">
      <alignment horizontal="center" readingOrder="0" vertical="center"/>
    </xf>
    <xf borderId="0" fillId="0" fontId="37" numFmtId="0" xfId="0" applyAlignment="1" applyFont="1">
      <alignment horizontal="left" readingOrder="0" shrinkToFit="0" vertical="top" wrapText="0"/>
    </xf>
    <xf borderId="0" fillId="0" fontId="37" numFmtId="0" xfId="0" applyAlignment="1" applyFont="1">
      <alignment horizontal="left" readingOrder="0" shrinkToFit="0" vertical="center" wrapText="1"/>
    </xf>
    <xf borderId="0" fillId="3" fontId="47" numFmtId="0" xfId="0" applyAlignment="1" applyFont="1">
      <alignment horizontal="center" readingOrder="0" vertical="center"/>
    </xf>
    <xf borderId="0" fillId="0" fontId="30" numFmtId="0" xfId="0" applyAlignment="1" applyFont="1">
      <alignment vertical="center"/>
    </xf>
    <xf borderId="21" fillId="0" fontId="86" numFmtId="0" xfId="0" applyAlignment="1" applyBorder="1" applyFont="1">
      <alignment horizontal="center" readingOrder="0" vertical="center"/>
    </xf>
    <xf borderId="11" fillId="2" fontId="87" numFmtId="0" xfId="0" applyAlignment="1" applyBorder="1" applyFont="1">
      <alignment horizontal="center" readingOrder="0" vertical="center"/>
    </xf>
    <xf borderId="16" fillId="0" fontId="88" numFmtId="0" xfId="0" applyAlignment="1" applyBorder="1" applyFont="1">
      <alignment horizontal="center" readingOrder="0" vertical="center"/>
    </xf>
    <xf borderId="21" fillId="0" fontId="89" numFmtId="0" xfId="0" applyAlignment="1" applyBorder="1" applyFont="1">
      <alignment horizontal="left" readingOrder="0" shrinkToFit="0" vertical="center" wrapText="1"/>
    </xf>
    <xf borderId="0" fillId="7" fontId="90" numFmtId="0" xfId="0" applyAlignment="1" applyFont="1">
      <alignment horizontal="center" readingOrder="0" vertical="center"/>
    </xf>
    <xf borderId="21" fillId="5" fontId="86" numFmtId="0" xfId="0" applyAlignment="1" applyBorder="1" applyFont="1">
      <alignment horizontal="center" readingOrder="0" vertical="center"/>
    </xf>
    <xf borderId="41" fillId="3" fontId="14" numFmtId="0" xfId="0" applyAlignment="1" applyBorder="1" applyFont="1">
      <alignment horizontal="center" readingOrder="0" vertical="center"/>
    </xf>
    <xf borderId="41" fillId="0" fontId="2" numFmtId="0" xfId="0" applyBorder="1" applyFont="1"/>
    <xf borderId="25" fillId="3" fontId="23" numFmtId="0" xfId="0" applyAlignment="1" applyBorder="1" applyFont="1">
      <alignment horizontal="center" readingOrder="0" vertical="center"/>
    </xf>
    <xf borderId="25" fillId="3" fontId="16" numFmtId="0" xfId="0" applyAlignment="1" applyBorder="1" applyFont="1">
      <alignment horizontal="center" readingOrder="0" vertical="center"/>
    </xf>
    <xf borderId="46" fillId="6" fontId="91" numFmtId="0" xfId="0" applyAlignment="1" applyBorder="1" applyFont="1">
      <alignment horizontal="center" readingOrder="0" vertical="center"/>
    </xf>
    <xf borderId="0" fillId="0" fontId="92" numFmtId="0" xfId="0" applyAlignment="1" applyFont="1">
      <alignment horizontal="center" readingOrder="0" shrinkToFit="0" vertical="center" wrapText="0"/>
    </xf>
    <xf borderId="46" fillId="6" fontId="12" numFmtId="0" xfId="0" applyAlignment="1" applyBorder="1" applyFont="1">
      <alignment horizontal="center" readingOrder="0" vertical="center"/>
    </xf>
    <xf borderId="25" fillId="6" fontId="93" numFmtId="0" xfId="0" applyAlignment="1" applyBorder="1" applyFont="1">
      <alignment horizontal="center" readingOrder="0" shrinkToFit="0" vertical="center" wrapText="1"/>
    </xf>
    <xf borderId="0" fillId="0" fontId="88" numFmtId="0" xfId="0" applyAlignment="1" applyFont="1">
      <alignment horizontal="center" readingOrder="0" vertical="center"/>
    </xf>
    <xf borderId="5" fillId="3" fontId="48" numFmtId="0" xfId="0" applyAlignment="1" applyBorder="1" applyFont="1">
      <alignment horizontal="center" readingOrder="0" vertical="center"/>
    </xf>
    <xf borderId="32" fillId="3" fontId="68" numFmtId="0" xfId="0" applyAlignment="1" applyBorder="1" applyFont="1">
      <alignment horizontal="center" readingOrder="0" vertical="center"/>
    </xf>
    <xf borderId="32" fillId="3" fontId="68" numFmtId="0" xfId="0" applyAlignment="1" applyBorder="1" applyFont="1">
      <alignment horizontal="center" vertical="center"/>
    </xf>
    <xf borderId="0" fillId="0" fontId="94" numFmtId="0" xfId="0" applyAlignment="1" applyFont="1">
      <alignment horizontal="center" vertical="center"/>
    </xf>
    <xf borderId="25" fillId="6" fontId="93" numFmtId="0" xfId="0" applyAlignment="1" applyBorder="1" applyFont="1">
      <alignment horizontal="center" readingOrder="0" vertical="center"/>
    </xf>
    <xf borderId="28" fillId="0" fontId="67" numFmtId="0" xfId="0" applyAlignment="1" applyBorder="1" applyFont="1">
      <alignment horizontal="center" readingOrder="0" shrinkToFit="0" vertical="center" wrapText="1"/>
    </xf>
    <xf borderId="8" fillId="7" fontId="86" numFmtId="0" xfId="0" applyAlignment="1" applyBorder="1" applyFont="1">
      <alignment horizontal="center" readingOrder="0" vertical="center"/>
    </xf>
    <xf borderId="28" fillId="0" fontId="11" numFmtId="0" xfId="0" applyAlignment="1" applyBorder="1" applyFont="1">
      <alignment horizontal="center" vertical="center"/>
    </xf>
    <xf borderId="32" fillId="0" fontId="11" numFmtId="0" xfId="0" applyAlignment="1" applyBorder="1" applyFont="1">
      <alignment horizontal="center" vertical="center"/>
    </xf>
    <xf borderId="8" fillId="0" fontId="11" numFmtId="0" xfId="0" applyAlignment="1" applyBorder="1" applyFont="1">
      <alignment horizontal="center" vertical="center"/>
    </xf>
    <xf borderId="28" fillId="0" fontId="23" numFmtId="0" xfId="0" applyAlignment="1" applyBorder="1" applyFont="1">
      <alignment horizontal="center" vertical="center"/>
    </xf>
    <xf borderId="32" fillId="0" fontId="24" numFmtId="0" xfId="0" applyAlignment="1" applyBorder="1" applyFont="1">
      <alignment horizontal="center" vertical="center"/>
    </xf>
    <xf borderId="32" fillId="0" fontId="6" numFmtId="0" xfId="0" applyAlignment="1" applyBorder="1" applyFont="1">
      <alignment horizontal="center" vertical="center"/>
    </xf>
    <xf borderId="8" fillId="0" fontId="24" numFmtId="0" xfId="0" applyAlignment="1" applyBorder="1" applyFont="1">
      <alignment horizontal="center" vertical="center"/>
    </xf>
    <xf borderId="31" fillId="4" fontId="30" numFmtId="0" xfId="0" applyAlignment="1" applyBorder="1" applyFont="1">
      <alignment horizontal="center" readingOrder="0" vertical="center"/>
    </xf>
    <xf borderId="39" fillId="0" fontId="23" numFmtId="0" xfId="0" applyAlignment="1" applyBorder="1" applyFont="1">
      <alignment horizontal="center" vertical="center"/>
    </xf>
    <xf borderId="34" fillId="0" fontId="24" numFmtId="0" xfId="0" applyAlignment="1" applyBorder="1" applyFont="1">
      <alignment horizontal="center" vertical="center"/>
    </xf>
    <xf borderId="34" fillId="0" fontId="6" numFmtId="0" xfId="0" applyAlignment="1" applyBorder="1" applyFont="1">
      <alignment horizontal="center" vertical="center"/>
    </xf>
    <xf borderId="36" fillId="0" fontId="24" numFmtId="0" xfId="0" applyAlignment="1" applyBorder="1" applyFont="1">
      <alignment horizontal="center" vertical="center"/>
    </xf>
    <xf borderId="31" fillId="4" fontId="10" numFmtId="0" xfId="0" applyAlignment="1" applyBorder="1" applyFont="1">
      <alignment horizontal="center" readingOrder="0"/>
    </xf>
    <xf borderId="51" fillId="4" fontId="10" numFmtId="0" xfId="0" applyAlignment="1" applyBorder="1" applyFont="1">
      <alignment horizontal="center" readingOrder="0"/>
    </xf>
    <xf borderId="12" fillId="3" fontId="11" numFmtId="0" xfId="0" applyAlignment="1" applyBorder="1" applyFont="1">
      <alignment horizontal="center" shrinkToFit="0" wrapText="1"/>
    </xf>
    <xf borderId="30" fillId="0" fontId="29" numFmtId="0" xfId="0" applyAlignment="1" applyBorder="1" applyFont="1">
      <alignment horizontal="center" readingOrder="0" shrinkToFit="0" vertical="center" wrapText="1"/>
    </xf>
    <xf borderId="2" fillId="7" fontId="86" numFmtId="0" xfId="0" applyAlignment="1" applyBorder="1" applyFont="1">
      <alignment horizontal="center" readingOrder="0" vertical="center"/>
    </xf>
    <xf borderId="30" fillId="0" fontId="11" numFmtId="0" xfId="0" applyAlignment="1" applyBorder="1" applyFont="1">
      <alignment horizontal="center" readingOrder="0" vertical="center"/>
    </xf>
    <xf borderId="4" fillId="0" fontId="11" numFmtId="0" xfId="0" applyAlignment="1" applyBorder="1" applyFont="1">
      <alignment horizontal="center" readingOrder="0" vertical="center"/>
    </xf>
    <xf borderId="3" fillId="0" fontId="11" numFmtId="0" xfId="0" applyAlignment="1" applyBorder="1" applyFont="1">
      <alignment horizontal="center" readingOrder="0" vertical="center"/>
    </xf>
    <xf borderId="30" fillId="0" fontId="23" numFmtId="0" xfId="0" applyAlignment="1" applyBorder="1" applyFont="1">
      <alignment horizontal="center" vertical="center"/>
    </xf>
    <xf borderId="47" fillId="0" fontId="24" numFmtId="0" xfId="0" applyAlignment="1" applyBorder="1" applyFont="1">
      <alignment horizontal="center" vertical="center"/>
    </xf>
    <xf borderId="47" fillId="0" fontId="33" numFmtId="0" xfId="0" applyAlignment="1" applyBorder="1" applyFont="1">
      <alignment horizontal="center" vertical="center"/>
    </xf>
    <xf borderId="2" fillId="0" fontId="24" numFmtId="0" xfId="0" applyAlignment="1" applyBorder="1" applyFont="1">
      <alignment horizontal="center" vertical="center"/>
    </xf>
    <xf borderId="33" fillId="0" fontId="23" numFmtId="0" xfId="0" applyAlignment="1" applyBorder="1" applyFont="1">
      <alignment horizontal="center" vertical="center"/>
    </xf>
    <xf borderId="54" fillId="0" fontId="24" numFmtId="0" xfId="0" applyAlignment="1" applyBorder="1" applyFont="1">
      <alignment horizontal="center" vertical="center"/>
    </xf>
    <xf borderId="54" fillId="0" fontId="33" numFmtId="0" xfId="0" applyAlignment="1" applyBorder="1" applyFont="1">
      <alignment horizontal="center" vertical="center"/>
    </xf>
    <xf borderId="52" fillId="0" fontId="24" numFmtId="0" xfId="0" applyAlignment="1" applyBorder="1" applyFont="1">
      <alignment horizontal="center" vertical="center"/>
    </xf>
    <xf borderId="41" fillId="0" fontId="23" numFmtId="0" xfId="0" applyAlignment="1" applyBorder="1" applyFont="1">
      <alignment horizontal="center" vertical="center"/>
    </xf>
    <xf borderId="28" fillId="0" fontId="94" numFmtId="0" xfId="0" applyAlignment="1" applyBorder="1" applyFont="1">
      <alignment horizontal="center" readingOrder="0" vertical="center"/>
    </xf>
    <xf borderId="32" fillId="0" fontId="30" numFmtId="0" xfId="0" applyAlignment="1" applyBorder="1" applyFont="1">
      <alignment horizontal="center" readingOrder="0" vertical="center"/>
    </xf>
    <xf borderId="32" fillId="0" fontId="95" numFmtId="0" xfId="0" applyAlignment="1" applyBorder="1" applyFont="1">
      <alignment horizontal="center" readingOrder="0" vertical="center"/>
    </xf>
    <xf borderId="8" fillId="0" fontId="30" numFmtId="0" xfId="0" applyAlignment="1" applyBorder="1" applyFont="1">
      <alignment horizontal="center" readingOrder="0" vertical="center"/>
    </xf>
    <xf borderId="39" fillId="0" fontId="94" numFmtId="0" xfId="0" applyAlignment="1" applyBorder="1" applyFont="1">
      <alignment horizontal="center" readingOrder="0" vertical="center"/>
    </xf>
    <xf borderId="34" fillId="0" fontId="30" numFmtId="0" xfId="0" applyAlignment="1" applyBorder="1" applyFont="1">
      <alignment horizontal="center" readingOrder="0" vertical="center"/>
    </xf>
    <xf borderId="34" fillId="0" fontId="95" numFmtId="0" xfId="0" applyAlignment="1" applyBorder="1" applyFont="1">
      <alignment horizontal="center" readingOrder="0" vertical="center"/>
    </xf>
    <xf borderId="36" fillId="0" fontId="30" numFmtId="0" xfId="0" applyAlignment="1" applyBorder="1" applyFont="1">
      <alignment horizontal="center" readingOrder="0" vertical="center"/>
    </xf>
    <xf borderId="0" fillId="0" fontId="94" numFmtId="0" xfId="0" applyAlignment="1" applyFont="1">
      <alignment vertical="center"/>
    </xf>
    <xf borderId="11" fillId="2" fontId="87" numFmtId="0" xfId="0" applyAlignment="1" applyBorder="1" applyFont="1">
      <alignment horizontal="center" readingOrder="0" vertical="center"/>
    </xf>
    <xf borderId="12" fillId="3" fontId="14" numFmtId="0" xfId="0" applyAlignment="1" applyBorder="1" applyFont="1">
      <alignment horizontal="center" readingOrder="0" vertical="center"/>
    </xf>
    <xf borderId="42" fillId="6" fontId="12" numFmtId="0" xfId="0" applyAlignment="1" applyBorder="1" applyFont="1">
      <alignment horizontal="center" readingOrder="0" vertical="center"/>
    </xf>
    <xf borderId="4" fillId="0" fontId="6" numFmtId="0" xfId="0" applyAlignment="1" applyBorder="1" applyFont="1">
      <alignment horizontal="center" readingOrder="0" vertical="center"/>
    </xf>
    <xf borderId="33" fillId="0" fontId="23" numFmtId="0" xfId="0" applyAlignment="1" applyBorder="1" applyFont="1">
      <alignment horizontal="center" readingOrder="0" vertical="center"/>
    </xf>
    <xf borderId="35" fillId="0" fontId="24" numFmtId="0" xfId="0" applyAlignment="1" applyBorder="1" applyFont="1">
      <alignment horizontal="center" readingOrder="0" vertical="center"/>
    </xf>
    <xf borderId="35" fillId="0" fontId="6" numFmtId="0" xfId="0" applyAlignment="1" applyBorder="1" applyFont="1">
      <alignment horizontal="center" readingOrder="0" vertical="center"/>
    </xf>
    <xf borderId="1" fillId="0" fontId="24" numFmtId="0" xfId="0" applyAlignment="1" applyBorder="1" applyFont="1">
      <alignment horizontal="center" readingOrder="0" vertical="center"/>
    </xf>
    <xf borderId="0" fillId="3" fontId="23" numFmtId="0" xfId="0" applyAlignment="1" applyFont="1">
      <alignment horizontal="center" readingOrder="0" vertical="center"/>
    </xf>
    <xf borderId="25" fillId="6" fontId="12" numFmtId="0" xfId="0" applyAlignment="1" applyBorder="1" applyFont="1">
      <alignment horizontal="center" readingOrder="0" vertical="center"/>
    </xf>
    <xf borderId="8" fillId="7" fontId="14" numFmtId="0" xfId="0" applyAlignment="1" applyBorder="1" applyFont="1">
      <alignment horizontal="center" vertical="center"/>
    </xf>
    <xf borderId="32" fillId="3" fontId="30" numFmtId="0" xfId="0" applyAlignment="1" applyBorder="1" applyFont="1">
      <alignment horizontal="center" vertical="center"/>
    </xf>
    <xf borderId="32" fillId="3" fontId="96" numFmtId="0" xfId="0" applyAlignment="1" applyBorder="1" applyFont="1">
      <alignment horizontal="center" vertical="center"/>
    </xf>
    <xf borderId="8" fillId="3" fontId="30" numFmtId="0" xfId="0" applyAlignment="1" applyBorder="1" applyFont="1">
      <alignment horizontal="center" vertical="center"/>
    </xf>
    <xf borderId="39" fillId="0" fontId="23" numFmtId="0" xfId="0" applyAlignment="1" applyBorder="1" applyFont="1">
      <alignment horizontal="center" readingOrder="0" vertical="center"/>
    </xf>
    <xf borderId="34" fillId="3" fontId="30" numFmtId="0" xfId="0" applyAlignment="1" applyBorder="1" applyFont="1">
      <alignment horizontal="center" vertical="center"/>
    </xf>
    <xf borderId="34" fillId="3" fontId="96" numFmtId="0" xfId="0" applyAlignment="1" applyBorder="1" applyFont="1">
      <alignment horizontal="center" vertical="center"/>
    </xf>
    <xf borderId="36" fillId="3" fontId="30" numFmtId="0" xfId="0" applyAlignment="1" applyBorder="1" applyFont="1">
      <alignment horizontal="center" vertical="center"/>
    </xf>
    <xf borderId="0" fillId="3" fontId="29" numFmtId="0" xfId="0" applyAlignment="1" applyFont="1">
      <alignment horizontal="center" readingOrder="0" vertical="center"/>
    </xf>
    <xf borderId="32" fillId="0" fontId="23" numFmtId="0" xfId="0" applyAlignment="1" applyBorder="1" applyFont="1">
      <alignment horizontal="center" vertical="center"/>
    </xf>
    <xf borderId="10" fillId="3" fontId="30" numFmtId="0" xfId="0" applyAlignment="1" applyBorder="1" applyFont="1">
      <alignment horizontal="center" readingOrder="0" vertical="center"/>
    </xf>
    <xf borderId="25" fillId="6" fontId="12" numFmtId="0" xfId="0" applyAlignment="1" applyBorder="1" applyFont="1">
      <alignment horizontal="center" readingOrder="0" vertical="center"/>
    </xf>
    <xf borderId="11" fillId="2" fontId="87" numFmtId="0" xfId="0" applyAlignment="1" applyBorder="1" applyFont="1">
      <alignment horizontal="center" vertical="center"/>
    </xf>
    <xf borderId="16" fillId="5" fontId="3" numFmtId="0" xfId="0" applyAlignment="1" applyBorder="1" applyFont="1">
      <alignment horizontal="center" readingOrder="0" vertical="center"/>
    </xf>
    <xf borderId="11" fillId="2" fontId="85" numFmtId="0" xfId="0" applyAlignment="1" applyBorder="1" applyFont="1">
      <alignment horizontal="center" readingOrder="0" vertical="center"/>
    </xf>
    <xf borderId="21" fillId="0" fontId="97" numFmtId="0" xfId="0" applyAlignment="1" applyBorder="1" applyFont="1">
      <alignment horizontal="center" readingOrder="0" vertical="center"/>
    </xf>
    <xf borderId="25" fillId="6" fontId="93" numFmtId="0" xfId="0" applyAlignment="1" applyBorder="1" applyFont="1">
      <alignment horizontal="center" readingOrder="0" vertical="center"/>
    </xf>
    <xf borderId="25" fillId="6" fontId="98" numFmtId="0" xfId="0" applyAlignment="1" applyBorder="1" applyFont="1">
      <alignment horizontal="center" readingOrder="0" shrinkToFit="0" vertical="center" wrapText="1"/>
    </xf>
    <xf borderId="50" fillId="0" fontId="15" numFmtId="0" xfId="0" applyAlignment="1" applyBorder="1" applyFont="1">
      <alignment horizontal="center" readingOrder="0" shrinkToFit="0" vertical="center" wrapText="1"/>
    </xf>
    <xf borderId="0" fillId="3" fontId="23" numFmtId="0" xfId="0" applyAlignment="1" applyFont="1">
      <alignment horizontal="center" vertical="center"/>
    </xf>
    <xf borderId="25" fillId="6" fontId="12" numFmtId="0" xfId="0" applyAlignment="1" applyBorder="1" applyFont="1">
      <alignment horizontal="center" readingOrder="0" shrinkToFit="0" vertical="center" wrapText="1"/>
    </xf>
    <xf borderId="8" fillId="0" fontId="11" numFmtId="0" xfId="0" applyAlignment="1" applyBorder="1" applyFont="1">
      <alignment horizontal="center" readingOrder="0" vertical="center"/>
    </xf>
    <xf borderId="8" fillId="3" fontId="48" numFmtId="0" xfId="0" applyAlignment="1" applyBorder="1" applyFont="1">
      <alignment horizontal="center" vertical="center"/>
    </xf>
    <xf borderId="0" fillId="0" fontId="92" numFmtId="0" xfId="0" applyAlignment="1" applyFont="1">
      <alignment vertical="center"/>
    </xf>
    <xf borderId="39" fillId="3" fontId="47" numFmtId="0" xfId="0" applyAlignment="1" applyBorder="1" applyFont="1">
      <alignment horizontal="center" vertical="center"/>
    </xf>
    <xf borderId="36" fillId="3" fontId="48" numFmtId="0" xfId="0" applyAlignment="1" applyBorder="1" applyFont="1">
      <alignment horizontal="center" vertical="center"/>
    </xf>
    <xf borderId="0" fillId="3" fontId="85" numFmtId="0" xfId="0" applyAlignment="1" applyFont="1">
      <alignment horizontal="center" readingOrder="0" vertical="center"/>
    </xf>
    <xf borderId="25" fillId="6" fontId="12" numFmtId="0" xfId="0" applyAlignment="1" applyBorder="1" applyFont="1">
      <alignment horizontal="center" readingOrder="0" shrinkToFit="0" vertical="center" wrapText="1"/>
    </xf>
    <xf borderId="28" fillId="3" fontId="23" numFmtId="0" xfId="0" applyAlignment="1" applyBorder="1" applyFont="1">
      <alignment horizontal="center" readingOrder="0" vertical="center"/>
    </xf>
    <xf borderId="32" fillId="3" fontId="24" numFmtId="0" xfId="0" applyAlignment="1" applyBorder="1" applyFont="1">
      <alignment horizontal="center" readingOrder="0" vertical="center"/>
    </xf>
    <xf borderId="8" fillId="3" fontId="24" numFmtId="0" xfId="0" applyAlignment="1" applyBorder="1" applyFont="1">
      <alignment horizontal="center" readingOrder="0" vertical="center"/>
    </xf>
    <xf borderId="39" fillId="3" fontId="23" numFmtId="0" xfId="0" applyAlignment="1" applyBorder="1" applyFont="1">
      <alignment horizontal="center" readingOrder="0" vertical="center"/>
    </xf>
    <xf borderId="34" fillId="3" fontId="24" numFmtId="0" xfId="0" applyAlignment="1" applyBorder="1" applyFont="1">
      <alignment horizontal="center" readingOrder="0" vertical="center"/>
    </xf>
    <xf borderId="36" fillId="3" fontId="24" numFmtId="0" xfId="0" applyAlignment="1" applyBorder="1" applyFont="1">
      <alignment horizontal="center" readingOrder="0" vertical="center"/>
    </xf>
    <xf borderId="3" fillId="7" fontId="99" numFmtId="0" xfId="0" applyAlignment="1" applyBorder="1" applyFont="1">
      <alignment horizontal="center" readingOrder="0"/>
    </xf>
    <xf borderId="31" fillId="4" fontId="32" numFmtId="0" xfId="0" applyAlignment="1" applyBorder="1" applyFont="1">
      <alignment readingOrder="0" vertical="center"/>
    </xf>
    <xf borderId="21" fillId="2" fontId="85" numFmtId="0" xfId="0" applyAlignment="1" applyBorder="1" applyFont="1">
      <alignment horizontal="center" readingOrder="0" vertical="center"/>
    </xf>
    <xf borderId="21" fillId="5" fontId="100" numFmtId="0" xfId="0" applyAlignment="1" applyBorder="1" applyFont="1">
      <alignment horizontal="center" readingOrder="0" vertical="center"/>
    </xf>
    <xf borderId="0" fillId="3" fontId="88" numFmtId="0" xfId="0" applyAlignment="1" applyFont="1">
      <alignment horizontal="left" readingOrder="0" vertical="center"/>
    </xf>
    <xf borderId="0" fillId="0" fontId="36" numFmtId="0" xfId="0" applyAlignment="1" applyFont="1">
      <alignment horizontal="center" vertical="center"/>
    </xf>
    <xf borderId="14" fillId="0" fontId="101" numFmtId="0" xfId="0" applyAlignment="1" applyBorder="1" applyFont="1">
      <alignment vertical="center"/>
    </xf>
    <xf borderId="15" fillId="0" fontId="1" numFmtId="0" xfId="0" applyAlignment="1" applyBorder="1" applyFont="1">
      <alignment vertical="center"/>
    </xf>
    <xf borderId="14" fillId="0" fontId="102" numFmtId="0" xfId="0" applyAlignment="1" applyBorder="1" applyFont="1">
      <alignment horizontal="left" shrinkToFit="0" vertical="center" wrapText="1"/>
    </xf>
    <xf borderId="14" fillId="0" fontId="2" numFmtId="0" xfId="0" applyBorder="1" applyFont="1"/>
    <xf borderId="16" fillId="0" fontId="101" numFmtId="0" xfId="0" applyAlignment="1" applyBorder="1" applyFont="1">
      <alignment vertical="center"/>
    </xf>
    <xf borderId="17" fillId="0" fontId="1" numFmtId="0" xfId="0" applyAlignment="1" applyBorder="1" applyFont="1">
      <alignment vertical="center"/>
    </xf>
    <xf borderId="0" fillId="0" fontId="101" numFmtId="0" xfId="0" applyAlignment="1" applyFont="1">
      <alignment vertical="center"/>
    </xf>
    <xf borderId="0" fillId="0" fontId="69" numFmtId="0" xfId="0" applyAlignment="1" applyFont="1">
      <alignment horizontal="center"/>
    </xf>
    <xf borderId="2" fillId="0" fontId="3" numFmtId="0" xfId="0" applyAlignment="1" applyBorder="1" applyFont="1">
      <alignment horizontal="center" readingOrder="0"/>
    </xf>
    <xf borderId="0" fillId="0" fontId="32" numFmtId="0" xfId="0" applyAlignment="1" applyFont="1">
      <alignment horizontal="center"/>
    </xf>
    <xf borderId="5" fillId="2" fontId="85" numFmtId="0" xfId="0" applyAlignment="1" applyBorder="1" applyFont="1">
      <alignment horizontal="center" readingOrder="0"/>
    </xf>
    <xf borderId="8" fillId="0" fontId="6" numFmtId="0" xfId="0" applyAlignment="1" applyBorder="1" applyFont="1">
      <alignment horizontal="left" readingOrder="0" shrinkToFit="0" vertical="center" wrapText="1"/>
    </xf>
    <xf borderId="21" fillId="5" fontId="14" numFmtId="0" xfId="0" applyAlignment="1" applyBorder="1" applyFont="1">
      <alignment horizontal="center" readingOrder="0" vertical="bottom"/>
    </xf>
    <xf borderId="11" fillId="5" fontId="14" numFmtId="0" xfId="0" applyAlignment="1" applyBorder="1" applyFont="1">
      <alignment horizontal="center" readingOrder="0" vertical="bottom"/>
    </xf>
    <xf borderId="41" fillId="3" fontId="16" numFmtId="0" xfId="0" applyAlignment="1" applyBorder="1" applyFont="1">
      <alignment horizontal="center" readingOrder="0" vertical="bottom"/>
    </xf>
    <xf borderId="12" fillId="3" fontId="16" numFmtId="0" xfId="0" applyAlignment="1" applyBorder="1" applyFont="1">
      <alignment horizontal="center" readingOrder="0" vertical="bottom"/>
    </xf>
    <xf borderId="21" fillId="3" fontId="16" numFmtId="0" xfId="0" applyAlignment="1" applyBorder="1" applyFont="1">
      <alignment horizontal="center" readingOrder="0" vertical="bottom"/>
    </xf>
    <xf borderId="0" fillId="3" fontId="66" numFmtId="0" xfId="0" applyAlignment="1" applyFont="1">
      <alignment horizontal="center" readingOrder="0" shrinkToFit="0" vertical="center" wrapText="0"/>
    </xf>
    <xf borderId="32" fillId="3" fontId="103" numFmtId="0" xfId="0" applyAlignment="1" applyBorder="1" applyFont="1">
      <alignment horizontal="center" readingOrder="0" vertical="center"/>
    </xf>
    <xf borderId="32" fillId="3" fontId="23" numFmtId="0" xfId="0" applyAlignment="1" applyBorder="1" applyFont="1">
      <alignment horizontal="center" readingOrder="0" vertical="center"/>
    </xf>
    <xf borderId="32" fillId="3" fontId="23" numFmtId="0" xfId="0" applyAlignment="1" applyBorder="1" applyFont="1">
      <alignment horizontal="center" vertical="center"/>
    </xf>
    <xf borderId="0" fillId="3" fontId="69" numFmtId="0" xfId="0" applyAlignment="1" applyFont="1">
      <alignment horizontal="center" vertical="bottom"/>
    </xf>
    <xf borderId="2" fillId="7" fontId="3" numFmtId="0" xfId="0" applyAlignment="1" applyBorder="1" applyFont="1">
      <alignment horizontal="center" readingOrder="0" vertical="center"/>
    </xf>
    <xf borderId="41" fillId="7" fontId="3" numFmtId="0" xfId="0" applyAlignment="1" applyBorder="1" applyFont="1">
      <alignment horizontal="center" readingOrder="0" vertical="center"/>
    </xf>
    <xf borderId="8" fillId="0" fontId="29" numFmtId="0" xfId="0" applyAlignment="1" applyBorder="1" applyFont="1">
      <alignment horizontal="center" readingOrder="0" vertical="center"/>
    </xf>
    <xf borderId="0" fillId="3" fontId="32" numFmtId="0" xfId="0" applyAlignment="1" applyFont="1">
      <alignment horizontal="center"/>
    </xf>
    <xf borderId="28" fillId="0" fontId="23" numFmtId="0" xfId="0" applyAlignment="1" applyBorder="1" applyFont="1">
      <alignment horizontal="center" vertical="bottom"/>
    </xf>
    <xf borderId="32" fillId="3" fontId="48" numFmtId="0" xfId="0" applyAlignment="1" applyBorder="1" applyFont="1">
      <alignment horizontal="center"/>
    </xf>
    <xf borderId="8" fillId="3" fontId="31" numFmtId="0" xfId="0" applyAlignment="1" applyBorder="1" applyFont="1">
      <alignment horizontal="center"/>
    </xf>
    <xf borderId="31" fillId="4" fontId="24" numFmtId="0" xfId="0" applyAlignment="1" applyBorder="1" applyFont="1">
      <alignment horizontal="center" readingOrder="0" vertical="bottom"/>
    </xf>
    <xf borderId="30" fillId="0" fontId="23" numFmtId="0" xfId="0" applyAlignment="1" applyBorder="1" applyFont="1">
      <alignment horizontal="center" vertical="center"/>
    </xf>
    <xf borderId="47" fillId="3" fontId="48" numFmtId="0" xfId="0" applyAlignment="1" applyBorder="1" applyFont="1">
      <alignment horizontal="center" vertical="center"/>
    </xf>
    <xf borderId="39" fillId="0" fontId="23" numFmtId="0" xfId="0" applyAlignment="1" applyBorder="1" applyFont="1">
      <alignment horizontal="center" vertical="bottom"/>
    </xf>
    <xf borderId="34" fillId="3" fontId="48" numFmtId="0" xfId="0" applyAlignment="1" applyBorder="1" applyFont="1">
      <alignment horizontal="center"/>
    </xf>
    <xf borderId="36" fillId="3" fontId="31" numFmtId="0" xfId="0" applyAlignment="1" applyBorder="1" applyFont="1">
      <alignment horizontal="center"/>
    </xf>
    <xf borderId="33" fillId="0" fontId="23" numFmtId="0" xfId="0" applyAlignment="1" applyBorder="1" applyFont="1">
      <alignment horizontal="center" vertical="center"/>
    </xf>
    <xf borderId="54" fillId="3" fontId="48" numFmtId="0" xfId="0" applyAlignment="1" applyBorder="1" applyFont="1">
      <alignment horizontal="center" vertical="center"/>
    </xf>
    <xf borderId="0" fillId="0" fontId="16" numFmtId="0" xfId="0" applyAlignment="1" applyFont="1">
      <alignment horizontal="center" readingOrder="0" vertical="bottom"/>
    </xf>
    <xf borderId="25" fillId="6" fontId="12" numFmtId="0" xfId="0" applyAlignment="1" applyBorder="1" applyFont="1">
      <alignment horizontal="center" readingOrder="0" vertical="bottom"/>
    </xf>
    <xf borderId="0" fillId="3" fontId="69" numFmtId="0" xfId="0" applyAlignment="1" applyFont="1">
      <alignment horizontal="center" vertical="bottom"/>
    </xf>
    <xf borderId="2" fillId="7" fontId="3" numFmtId="0" xfId="0" applyAlignment="1" applyBorder="1" applyFont="1">
      <alignment horizontal="center" readingOrder="0" vertical="bottom"/>
    </xf>
    <xf borderId="30" fillId="0" fontId="11" numFmtId="0" xfId="0" applyAlignment="1" applyBorder="1" applyFont="1">
      <alignment horizontal="center" vertical="bottom"/>
    </xf>
    <xf borderId="4" fillId="0" fontId="11" numFmtId="0" xfId="0" applyAlignment="1" applyBorder="1" applyFont="1">
      <alignment horizontal="center" vertical="bottom"/>
    </xf>
    <xf borderId="3" fillId="0" fontId="29" numFmtId="0" xfId="0" applyAlignment="1" applyBorder="1" applyFont="1">
      <alignment horizontal="center" vertical="bottom"/>
    </xf>
    <xf borderId="30" fillId="0" fontId="23" numFmtId="0" xfId="0" applyAlignment="1" applyBorder="1" applyFont="1">
      <alignment horizontal="center" vertical="bottom"/>
    </xf>
    <xf borderId="4" fillId="0" fontId="24" numFmtId="0" xfId="0" applyAlignment="1" applyBorder="1" applyFont="1">
      <alignment horizontal="center" vertical="bottom"/>
    </xf>
    <xf borderId="4" fillId="0" fontId="33" numFmtId="0" xfId="0" applyAlignment="1" applyBorder="1" applyFont="1">
      <alignment horizontal="center" vertical="center"/>
    </xf>
    <xf borderId="3" fillId="0" fontId="31" numFmtId="0" xfId="0" applyAlignment="1" applyBorder="1" applyFont="1">
      <alignment horizontal="center" vertical="bottom"/>
    </xf>
    <xf borderId="33" fillId="0" fontId="23" numFmtId="0" xfId="0" applyAlignment="1" applyBorder="1" applyFont="1">
      <alignment horizontal="center" vertical="bottom"/>
    </xf>
    <xf borderId="35" fillId="0" fontId="24" numFmtId="0" xfId="0" applyAlignment="1" applyBorder="1" applyFont="1">
      <alignment horizontal="center" vertical="bottom"/>
    </xf>
    <xf borderId="35" fillId="0" fontId="33" numFmtId="0" xfId="0" applyAlignment="1" applyBorder="1" applyFont="1">
      <alignment horizontal="center" vertical="center"/>
    </xf>
    <xf borderId="1" fillId="0" fontId="31" numFmtId="0" xfId="0" applyAlignment="1" applyBorder="1" applyFont="1">
      <alignment horizontal="center" vertical="bottom"/>
    </xf>
    <xf borderId="0" fillId="3" fontId="16" numFmtId="0" xfId="0" applyAlignment="1" applyFont="1">
      <alignment horizontal="center" readingOrder="0" vertical="bottom"/>
    </xf>
    <xf borderId="39" fillId="0" fontId="23" numFmtId="0" xfId="0" applyAlignment="1" applyBorder="1" applyFont="1">
      <alignment horizontal="center" readingOrder="0" vertical="center"/>
    </xf>
    <xf borderId="12" fillId="3" fontId="23" numFmtId="0" xfId="0" applyAlignment="1" applyBorder="1" applyFont="1">
      <alignment horizontal="center" vertical="center"/>
    </xf>
    <xf borderId="11" fillId="2" fontId="82" numFmtId="0" xfId="0" applyAlignment="1" applyBorder="1" applyFont="1">
      <alignment horizontal="center" readingOrder="0" vertical="center"/>
    </xf>
    <xf borderId="22" fillId="3" fontId="82" numFmtId="0" xfId="0" applyAlignment="1" applyBorder="1" applyFont="1">
      <alignment horizontal="center" readingOrder="0" vertical="center"/>
    </xf>
    <xf borderId="0" fillId="3" fontId="14" numFmtId="0" xfId="0" applyAlignment="1" applyFont="1">
      <alignment horizontal="center" readingOrder="0" vertical="bottom"/>
    </xf>
    <xf borderId="3" fillId="0" fontId="29" numFmtId="0" xfId="0" applyAlignment="1" applyBorder="1" applyFont="1">
      <alignment horizontal="center" readingOrder="0" vertical="center"/>
    </xf>
    <xf borderId="32" fillId="3" fontId="24" numFmtId="0" xfId="0" applyAlignment="1" applyBorder="1" applyFont="1">
      <alignment horizontal="center" readingOrder="0" vertical="bottom"/>
    </xf>
    <xf borderId="8" fillId="3" fontId="31" numFmtId="0" xfId="0" applyAlignment="1" applyBorder="1" applyFont="1">
      <alignment horizontal="center" readingOrder="0" vertical="bottom"/>
    </xf>
    <xf borderId="34" fillId="3" fontId="24" numFmtId="0" xfId="0" applyAlignment="1" applyBorder="1" applyFont="1">
      <alignment horizontal="center" readingOrder="0" vertical="bottom"/>
    </xf>
    <xf borderId="36" fillId="3" fontId="31" numFmtId="0" xfId="0" applyAlignment="1" applyBorder="1" applyFont="1">
      <alignment horizontal="center" readingOrder="0" vertical="bottom"/>
    </xf>
    <xf borderId="28" fillId="3" fontId="66" numFmtId="0" xfId="0" applyAlignment="1" applyBorder="1" applyFont="1">
      <alignment horizontal="center" readingOrder="0" shrinkToFit="0" vertical="center" wrapText="1"/>
    </xf>
    <xf borderId="0" fillId="0" fontId="5" numFmtId="0" xfId="0" applyAlignment="1" applyFont="1">
      <alignment horizontal="center" readingOrder="0" vertical="bottom"/>
    </xf>
    <xf borderId="32" fillId="3" fontId="48" numFmtId="0" xfId="0" applyAlignment="1" applyBorder="1" applyFont="1">
      <alignment horizontal="center"/>
    </xf>
    <xf borderId="8" fillId="3" fontId="31" numFmtId="0" xfId="0" applyAlignment="1" applyBorder="1" applyFont="1">
      <alignment horizontal="center"/>
    </xf>
    <xf borderId="0" fillId="3" fontId="5" numFmtId="0" xfId="0" applyAlignment="1" applyFont="1">
      <alignment horizontal="center" readingOrder="0" vertical="bottom"/>
    </xf>
    <xf borderId="25" fillId="6" fontId="12" numFmtId="0" xfId="0" applyAlignment="1" applyBorder="1" applyFont="1">
      <alignment horizontal="center" readingOrder="0" vertical="bottom"/>
    </xf>
    <xf borderId="28" fillId="0" fontId="29" numFmtId="0" xfId="0" applyAlignment="1" applyBorder="1" applyFont="1">
      <alignment horizontal="center" readingOrder="0" shrinkToFit="0" vertical="center" wrapText="1"/>
    </xf>
    <xf borderId="8" fillId="7" fontId="14" numFmtId="0" xfId="0" applyAlignment="1" applyBorder="1" applyFont="1">
      <alignment horizontal="center" readingOrder="0"/>
    </xf>
    <xf borderId="0" fillId="0" fontId="32" numFmtId="0" xfId="0" applyFont="1"/>
    <xf borderId="28" fillId="0" fontId="23" numFmtId="0" xfId="0" applyAlignment="1" applyBorder="1" applyFont="1">
      <alignment horizontal="center" vertical="bottom"/>
    </xf>
    <xf borderId="32" fillId="3" fontId="68" numFmtId="0" xfId="0" applyAlignment="1" applyBorder="1" applyFont="1">
      <alignment horizontal="center"/>
    </xf>
    <xf borderId="0" fillId="0" fontId="69" numFmtId="0" xfId="0" applyAlignment="1" applyFont="1">
      <alignment horizontal="center"/>
    </xf>
    <xf borderId="21" fillId="5" fontId="3" numFmtId="0" xfId="0" applyAlignment="1" applyBorder="1" applyFont="1">
      <alignment horizontal="center" readingOrder="0" vertical="bottom"/>
    </xf>
    <xf borderId="0" fillId="3" fontId="3" numFmtId="0" xfId="0" applyAlignment="1" applyFont="1">
      <alignment horizontal="center" readingOrder="0" vertical="bottom"/>
    </xf>
    <xf borderId="21" fillId="2" fontId="44" numFmtId="0" xfId="0" applyAlignment="1" applyBorder="1" applyFont="1">
      <alignment horizontal="center" readingOrder="0" vertical="bottom"/>
    </xf>
    <xf borderId="25" fillId="6" fontId="104" numFmtId="0" xfId="0" applyAlignment="1" applyBorder="1" applyFont="1">
      <alignment horizontal="center" readingOrder="0" shrinkToFit="0" vertical="center" wrapText="1"/>
    </xf>
    <xf borderId="0" fillId="3" fontId="12" numFmtId="0" xfId="0" applyAlignment="1" applyFont="1">
      <alignment horizontal="center" readingOrder="0" shrinkToFit="0" vertical="center" wrapText="1"/>
    </xf>
    <xf borderId="28" fillId="3" fontId="11" numFmtId="0" xfId="0" applyAlignment="1" applyBorder="1" applyFont="1">
      <alignment horizontal="center" readingOrder="0" vertical="center"/>
    </xf>
    <xf borderId="32" fillId="3" fontId="11" numFmtId="0" xfId="0" applyAlignment="1" applyBorder="1" applyFont="1">
      <alignment horizontal="center" readingOrder="0" vertical="center"/>
    </xf>
    <xf borderId="8" fillId="3" fontId="29" numFmtId="0" xfId="0" applyAlignment="1" applyBorder="1" applyFont="1">
      <alignment horizontal="center" readingOrder="0" vertical="center"/>
    </xf>
    <xf borderId="30" fillId="3" fontId="23" numFmtId="0" xfId="0" applyAlignment="1" applyBorder="1" applyFont="1">
      <alignment horizontal="center" vertical="bottom"/>
    </xf>
    <xf borderId="32" fillId="3" fontId="31" numFmtId="0" xfId="0" applyAlignment="1" applyBorder="1" applyFont="1">
      <alignment horizontal="center"/>
    </xf>
    <xf borderId="33" fillId="3" fontId="23" numFmtId="0" xfId="0" applyAlignment="1" applyBorder="1" applyFont="1">
      <alignment horizontal="center" vertical="bottom"/>
    </xf>
    <xf borderId="34" fillId="3" fontId="48" numFmtId="0" xfId="0" applyAlignment="1" applyBorder="1" applyFont="1">
      <alignment horizontal="center"/>
    </xf>
    <xf borderId="34" fillId="3" fontId="31" numFmtId="0" xfId="0" applyAlignment="1" applyBorder="1" applyFont="1">
      <alignment horizontal="center"/>
    </xf>
    <xf borderId="32" fillId="0" fontId="31" numFmtId="0" xfId="0" applyAlignment="1" applyBorder="1" applyFont="1">
      <alignment horizontal="center" vertical="center"/>
    </xf>
    <xf borderId="55" fillId="4" fontId="24" numFmtId="0" xfId="0" applyAlignment="1" applyBorder="1" applyFont="1">
      <alignment horizontal="center" readingOrder="0" vertical="center"/>
    </xf>
    <xf borderId="34" fillId="0" fontId="31" numFmtId="0" xfId="0" applyAlignment="1" applyBorder="1" applyFont="1">
      <alignment horizontal="center" vertical="center"/>
    </xf>
    <xf borderId="3" fillId="7" fontId="28" numFmtId="0" xfId="0" applyAlignment="1" applyBorder="1" applyFont="1">
      <alignment horizontal="center" readingOrder="0"/>
    </xf>
    <xf borderId="0" fillId="3" fontId="104" numFmtId="0" xfId="0" applyAlignment="1" applyFont="1">
      <alignment horizontal="center" readingOrder="0" vertical="bottom"/>
    </xf>
    <xf borderId="6" fillId="3" fontId="104" numFmtId="0" xfId="0" applyAlignment="1" applyBorder="1" applyFont="1">
      <alignment horizontal="center" readingOrder="0" vertical="bottom"/>
    </xf>
    <xf borderId="0" fillId="3" fontId="12" numFmtId="0" xfId="0" applyAlignment="1" applyFont="1">
      <alignment horizontal="center" readingOrder="0" shrinkToFit="0" vertical="center" wrapText="1"/>
    </xf>
    <xf borderId="11" fillId="2" fontId="105" numFmtId="0" xfId="0" applyAlignment="1" applyBorder="1" applyFont="1">
      <alignment horizontal="center" vertical="center"/>
    </xf>
    <xf borderId="0" fillId="0" fontId="32" numFmtId="0" xfId="0" applyAlignment="1" applyFont="1">
      <alignment vertical="bottom"/>
    </xf>
    <xf borderId="47" fillId="0" fontId="11" numFmtId="0" xfId="0" applyAlignment="1" applyBorder="1" applyFont="1">
      <alignment horizontal="center" readingOrder="0" vertical="center"/>
    </xf>
    <xf borderId="2" fillId="0" fontId="11" numFmtId="0" xfId="0" applyAlignment="1" applyBorder="1" applyFont="1">
      <alignment horizontal="center" readingOrder="0" vertical="center"/>
    </xf>
    <xf borderId="30" fillId="0" fontId="47" numFmtId="0" xfId="0" applyAlignment="1" applyBorder="1" applyFont="1">
      <alignment horizontal="center" readingOrder="0" vertical="center"/>
    </xf>
    <xf borderId="56" fillId="3" fontId="24" numFmtId="0" xfId="0" applyAlignment="1" applyBorder="1" applyFont="1">
      <alignment horizontal="center" readingOrder="0" vertical="center"/>
    </xf>
    <xf borderId="23" fillId="4" fontId="24" numFmtId="0" xfId="0" applyAlignment="1" applyBorder="1" applyFont="1">
      <alignment horizontal="center" readingOrder="0" vertical="center"/>
    </xf>
    <xf borderId="37" fillId="3" fontId="23" numFmtId="0" xfId="0" applyAlignment="1" applyBorder="1" applyFont="1">
      <alignment horizontal="center" vertical="center"/>
    </xf>
    <xf borderId="38" fillId="0" fontId="24" numFmtId="0" xfId="0" applyAlignment="1" applyBorder="1" applyFont="1">
      <alignment horizontal="center" vertical="center"/>
    </xf>
    <xf borderId="38" fillId="3" fontId="24" numFmtId="0" xfId="0" applyAlignment="1" applyBorder="1" applyFont="1">
      <alignment horizontal="center" readingOrder="0" vertical="center"/>
    </xf>
    <xf borderId="5" fillId="0" fontId="31" numFmtId="0" xfId="0" applyAlignment="1" applyBorder="1" applyFont="1">
      <alignment horizontal="center" readingOrder="0" vertical="center"/>
    </xf>
    <xf borderId="12" fillId="3" fontId="29" numFmtId="0" xfId="0" applyAlignment="1" applyBorder="1" applyFont="1">
      <alignment horizontal="center" vertical="center"/>
    </xf>
    <xf borderId="38" fillId="0" fontId="48" numFmtId="0" xfId="0" applyAlignment="1" applyBorder="1" applyFont="1">
      <alignment horizontal="center" vertical="center"/>
    </xf>
    <xf borderId="0" fillId="3" fontId="1" numFmtId="0" xfId="0" applyFont="1"/>
    <xf borderId="0" fillId="3" fontId="106" numFmtId="0" xfId="0" applyAlignment="1" applyFont="1">
      <alignment horizontal="center" vertical="bottom"/>
    </xf>
    <xf borderId="18" fillId="0" fontId="11" numFmtId="0" xfId="0" applyAlignment="1" applyBorder="1" applyFont="1">
      <alignment horizontal="center" readingOrder="0" shrinkToFit="0" vertical="center" wrapText="1"/>
    </xf>
    <xf borderId="21" fillId="2" fontId="107" numFmtId="0" xfId="0" applyAlignment="1" applyBorder="1" applyFont="1">
      <alignment horizontal="center" vertical="bottom"/>
    </xf>
    <xf borderId="21" fillId="5" fontId="34" numFmtId="0" xfId="0" applyAlignment="1" applyBorder="1" applyFont="1">
      <alignment horizontal="center" readingOrder="0"/>
    </xf>
    <xf borderId="0" fillId="3" fontId="82" numFmtId="0" xfId="0" applyAlignment="1" applyFont="1">
      <alignment horizontal="center" readingOrder="0" vertical="bottom"/>
    </xf>
    <xf borderId="5" fillId="3" fontId="108" numFmtId="0" xfId="0" applyAlignment="1" applyBorder="1" applyFont="1">
      <alignment horizontal="center" readingOrder="0" vertical="center"/>
    </xf>
    <xf borderId="53" fillId="3" fontId="36" numFmtId="0" xfId="0" applyAlignment="1" applyBorder="1" applyFont="1">
      <alignment horizontal="center" readingOrder="0" vertical="center"/>
    </xf>
    <xf borderId="13" fillId="3" fontId="36" numFmtId="0" xfId="0" applyAlignment="1" applyBorder="1" applyFont="1">
      <alignment horizontal="center" readingOrder="0" vertical="center"/>
    </xf>
    <xf borderId="11" fillId="0" fontId="109" numFmtId="0" xfId="0" applyAlignment="1" applyBorder="1" applyFont="1">
      <alignment horizontal="left" readingOrder="0" shrinkToFit="0" vertical="center" wrapText="1"/>
    </xf>
    <xf borderId="55" fillId="3" fontId="36" numFmtId="0" xfId="0" applyAlignment="1" applyBorder="1" applyFont="1">
      <alignment horizontal="center" readingOrder="0" vertical="center"/>
    </xf>
    <xf borderId="15" fillId="3" fontId="36" numFmtId="0" xfId="0" applyAlignment="1" applyBorder="1" applyFont="1">
      <alignment horizontal="center" readingOrder="0" vertical="center"/>
    </xf>
    <xf borderId="55" fillId="0" fontId="110" numFmtId="0" xfId="0" applyAlignment="1" applyBorder="1" applyFont="1">
      <alignment horizontal="left" readingOrder="0" shrinkToFit="0" vertical="top" wrapText="1"/>
    </xf>
    <xf borderId="55" fillId="3" fontId="111" numFmtId="0" xfId="0" applyAlignment="1" applyBorder="1" applyFont="1">
      <alignment horizontal="left" readingOrder="0"/>
    </xf>
    <xf borderId="51" fillId="3" fontId="36" numFmtId="0" xfId="0" applyAlignment="1" applyBorder="1" applyFont="1">
      <alignment horizontal="center" readingOrder="0" vertical="center"/>
    </xf>
    <xf borderId="31" fillId="3" fontId="36" numFmtId="0" xfId="0" applyAlignment="1" applyBorder="1" applyFont="1">
      <alignment horizontal="center" readingOrder="0" vertical="center"/>
    </xf>
    <xf borderId="0" fillId="0" fontId="101" numFmtId="0" xfId="0" applyAlignment="1" applyFont="1">
      <alignment horizontal="center" vertical="center"/>
    </xf>
    <xf borderId="0" fillId="0" fontId="1" numFmtId="0" xfId="0" applyAlignment="1" applyFont="1">
      <alignment horizontal="center" vertical="center"/>
    </xf>
    <xf borderId="0" fillId="0" fontId="112" numFmtId="0" xfId="0" applyAlignment="1" applyFont="1">
      <alignment horizontal="center" readingOrder="0" vertical="center"/>
    </xf>
    <xf borderId="0" fillId="0" fontId="113" numFmtId="0" xfId="0" applyAlignment="1" applyFont="1">
      <alignment horizontal="center" readingOrder="0" vertical="center"/>
    </xf>
    <xf borderId="21" fillId="0" fontId="5" numFmtId="0" xfId="0" applyAlignment="1" applyBorder="1" applyFont="1">
      <alignment horizontal="center" readingOrder="0" vertical="center"/>
    </xf>
    <xf borderId="21" fillId="0" fontId="112" numFmtId="0" xfId="0" applyAlignment="1" applyBorder="1" applyFont="1">
      <alignment horizontal="left" readingOrder="0" shrinkToFit="0" vertical="center" wrapText="1"/>
    </xf>
    <xf borderId="0" fillId="3" fontId="16" numFmtId="0" xfId="0" applyAlignment="1" applyFont="1">
      <alignment horizontal="center" readingOrder="0" vertical="center"/>
    </xf>
    <xf borderId="0" fillId="3" fontId="69" numFmtId="0" xfId="0" applyAlignment="1" applyFont="1">
      <alignment horizontal="center" vertical="center"/>
    </xf>
    <xf borderId="25" fillId="6" fontId="114" numFmtId="0" xfId="0" applyAlignment="1" applyBorder="1" applyFont="1">
      <alignment horizontal="center" readingOrder="0" vertical="center"/>
    </xf>
    <xf borderId="0" fillId="3" fontId="1" numFmtId="0" xfId="0" applyAlignment="1" applyFont="1">
      <alignment horizontal="center" vertical="center"/>
    </xf>
    <xf borderId="25" fillId="6" fontId="115" numFmtId="0" xfId="0" applyAlignment="1" applyBorder="1" applyFont="1">
      <alignment horizontal="center" readingOrder="0" vertical="center"/>
    </xf>
    <xf borderId="0" fillId="3" fontId="1" numFmtId="0" xfId="0" applyAlignment="1" applyFont="1">
      <alignment horizontal="center" readingOrder="0" vertical="center"/>
    </xf>
    <xf borderId="39" fillId="0" fontId="23" numFmtId="0" xfId="0" applyAlignment="1" applyBorder="1" applyFont="1">
      <alignment horizontal="center" vertical="center"/>
    </xf>
    <xf borderId="34" fillId="0" fontId="24" numFmtId="0" xfId="0" applyAlignment="1" applyBorder="1" applyFont="1">
      <alignment horizontal="center" vertical="center"/>
    </xf>
    <xf borderId="38" fillId="0" fontId="24" numFmtId="0" xfId="0" applyAlignment="1" applyBorder="1" applyFont="1">
      <alignment horizontal="center" readingOrder="0" vertical="center"/>
    </xf>
    <xf borderId="5" fillId="3" fontId="25" numFmtId="0" xfId="0" applyAlignment="1" applyBorder="1" applyFont="1">
      <alignment horizontal="center" readingOrder="0" vertical="center"/>
    </xf>
    <xf borderId="53" fillId="4" fontId="24" numFmtId="0" xfId="0" applyAlignment="1" applyBorder="1" applyFont="1">
      <alignment horizontal="center" readingOrder="0" vertical="center"/>
    </xf>
    <xf borderId="12" fillId="3" fontId="24" numFmtId="0" xfId="0" applyAlignment="1" applyBorder="1" applyFont="1">
      <alignment horizontal="center" readingOrder="0" vertical="center"/>
    </xf>
    <xf borderId="12" fillId="3" fontId="33" numFmtId="0" xfId="0" applyAlignment="1" applyBorder="1" applyFont="1">
      <alignment horizontal="center" readingOrder="0" vertical="center"/>
    </xf>
    <xf borderId="12" fillId="3" fontId="25" numFmtId="0" xfId="0" applyAlignment="1" applyBorder="1" applyFont="1">
      <alignment horizontal="center" readingOrder="0" vertical="center"/>
    </xf>
    <xf borderId="11" fillId="2" fontId="116" numFmtId="0" xfId="0" applyAlignment="1" applyBorder="1" applyFont="1">
      <alignment horizontal="center" readingOrder="0" vertical="center"/>
    </xf>
    <xf borderId="16" fillId="5" fontId="14" numFmtId="0" xfId="0" applyAlignment="1" applyBorder="1" applyFont="1">
      <alignment horizontal="center" readingOrder="0" vertical="center"/>
    </xf>
    <xf borderId="46" fillId="3" fontId="11" numFmtId="0" xfId="0" applyAlignment="1" applyBorder="1" applyFont="1">
      <alignment horizontal="center" readingOrder="0" shrinkToFit="0" vertical="center" wrapText="1"/>
    </xf>
    <xf borderId="21" fillId="7" fontId="3" numFmtId="0" xfId="0" applyAlignment="1" applyBorder="1" applyFont="1">
      <alignment horizontal="center" readingOrder="0" vertical="center"/>
    </xf>
    <xf borderId="47" fillId="0" fontId="11" numFmtId="0" xfId="0" applyAlignment="1" applyBorder="1" applyFont="1">
      <alignment horizontal="center" readingOrder="0" vertical="center"/>
    </xf>
    <xf borderId="2" fillId="3" fontId="29" numFmtId="0" xfId="0" applyAlignment="1" applyBorder="1" applyFont="1">
      <alignment horizontal="center" readingOrder="0" vertical="center"/>
    </xf>
    <xf borderId="4" fillId="3" fontId="24" numFmtId="0" xfId="0" applyAlignment="1" applyBorder="1" applyFont="1">
      <alignment horizontal="center" vertical="center"/>
    </xf>
    <xf borderId="4" fillId="0" fontId="24" numFmtId="0" xfId="0" applyAlignment="1" applyBorder="1" applyFont="1">
      <alignment horizontal="center" vertical="center"/>
    </xf>
    <xf borderId="4" fillId="0" fontId="33" numFmtId="0" xfId="0" applyAlignment="1" applyBorder="1" applyFont="1">
      <alignment horizontal="center" vertical="center"/>
    </xf>
    <xf borderId="0" fillId="0" fontId="5" numFmtId="0" xfId="0" applyAlignment="1" applyFont="1">
      <alignment horizontal="center" readingOrder="0" vertical="center"/>
    </xf>
    <xf borderId="32" fillId="0" fontId="24" numFmtId="164" xfId="0" applyAlignment="1" applyBorder="1" applyFont="1" applyNumberFormat="1">
      <alignment horizontal="center" readingOrder="0" vertical="center"/>
    </xf>
    <xf borderId="8" fillId="0" fontId="31" numFmtId="0" xfId="0" applyAlignment="1" applyBorder="1" applyFont="1">
      <alignment horizontal="center" vertical="center"/>
    </xf>
    <xf borderId="12" fillId="3" fontId="5" numFmtId="0" xfId="0" applyAlignment="1" applyBorder="1" applyFont="1">
      <alignment horizontal="center" readingOrder="0" vertical="center"/>
    </xf>
    <xf borderId="32" fillId="0" fontId="33" numFmtId="164" xfId="0" applyAlignment="1" applyBorder="1" applyFont="1" applyNumberFormat="1">
      <alignment horizontal="center" readingOrder="0" vertical="center"/>
    </xf>
    <xf borderId="0" fillId="0" fontId="30" numFmtId="0" xfId="0" applyAlignment="1" applyFont="1">
      <alignment horizontal="center" vertical="center"/>
    </xf>
    <xf borderId="0" fillId="0" fontId="101" numFmtId="0" xfId="0" applyAlignment="1" applyFont="1">
      <alignment horizontal="center" vertical="center"/>
    </xf>
    <xf borderId="8" fillId="5" fontId="100" numFmtId="0" xfId="0" applyAlignment="1" applyBorder="1" applyFont="1">
      <alignment horizontal="center" readingOrder="0"/>
    </xf>
    <xf borderId="0" fillId="3" fontId="100" numFmtId="0" xfId="0" applyAlignment="1" applyFont="1">
      <alignment horizontal="center" readingOrder="0"/>
    </xf>
    <xf borderId="0" fillId="3" fontId="101" numFmtId="0" xfId="0" applyAlignment="1" applyFont="1">
      <alignment horizontal="center" vertical="center"/>
    </xf>
    <xf borderId="25" fillId="6" fontId="117" numFmtId="0" xfId="0" applyAlignment="1" applyBorder="1" applyFont="1">
      <alignment horizontal="center" readingOrder="0" shrinkToFit="0" vertical="center" wrapText="1"/>
    </xf>
    <xf borderId="0" fillId="0" fontId="30" numFmtId="0" xfId="0" applyAlignment="1" applyFont="1">
      <alignment horizontal="center" readingOrder="0" vertical="center"/>
    </xf>
    <xf borderId="11" fillId="3" fontId="12" numFmtId="0" xfId="0" applyAlignment="1" applyBorder="1" applyFont="1">
      <alignment horizontal="center" readingOrder="0" shrinkToFit="0" vertical="center" wrapText="1"/>
    </xf>
    <xf borderId="12" fillId="3" fontId="12" numFmtId="0" xfId="0" applyAlignment="1" applyBorder="1" applyFont="1">
      <alignment horizontal="center" readingOrder="0" shrinkToFit="0" vertical="center" wrapText="1"/>
    </xf>
    <xf borderId="3" fillId="7" fontId="3" numFmtId="0" xfId="0" applyAlignment="1" applyBorder="1" applyFont="1">
      <alignment horizontal="center" readingOrder="0" vertical="center"/>
    </xf>
    <xf borderId="14" fillId="3" fontId="12" numFmtId="0" xfId="0" applyAlignment="1" applyBorder="1" applyFont="1">
      <alignment horizontal="center" readingOrder="0" shrinkToFit="0" vertical="center" wrapText="1"/>
    </xf>
    <xf borderId="32" fillId="0" fontId="24" numFmtId="0" xfId="0" applyAlignment="1" applyBorder="1" applyFont="1">
      <alignment horizontal="center" readingOrder="0" vertical="center"/>
    </xf>
    <xf borderId="31" fillId="4" fontId="24" numFmtId="0" xfId="0" applyAlignment="1" applyBorder="1" applyFont="1">
      <alignment horizontal="center" vertical="center"/>
    </xf>
    <xf borderId="36" fillId="0" fontId="83" numFmtId="0" xfId="0" applyAlignment="1" applyBorder="1" applyFont="1">
      <alignment horizontal="center" readingOrder="0" vertical="center"/>
    </xf>
    <xf borderId="0" fillId="3" fontId="16" numFmtId="0" xfId="0" applyAlignment="1" applyFont="1">
      <alignment horizontal="center" readingOrder="0" vertical="center"/>
    </xf>
    <xf borderId="0" fillId="0" fontId="118" numFmtId="0" xfId="0" applyAlignment="1" applyFont="1">
      <alignment horizontal="center" readingOrder="0" shrinkToFit="0" vertical="center" wrapText="0"/>
    </xf>
    <xf borderId="55" fillId="0" fontId="1" numFmtId="0" xfId="0" applyAlignment="1" applyBorder="1" applyFont="1">
      <alignment horizontal="center" readingOrder="0" vertical="center"/>
    </xf>
    <xf borderId="14" fillId="3" fontId="12" numFmtId="0" xfId="0" applyAlignment="1" applyBorder="1" applyFont="1">
      <alignment horizontal="center" readingOrder="0" shrinkToFit="0" vertical="center" wrapText="1"/>
    </xf>
    <xf borderId="14" fillId="3" fontId="14" numFmtId="0" xfId="0" applyAlignment="1" applyBorder="1" applyFont="1">
      <alignment horizontal="center" vertical="center"/>
    </xf>
    <xf borderId="14" fillId="3" fontId="11" numFmtId="0" xfId="0" applyAlignment="1" applyBorder="1" applyFont="1">
      <alignment horizontal="center" readingOrder="0" vertical="center"/>
    </xf>
    <xf borderId="4" fillId="0" fontId="47" numFmtId="0" xfId="0" applyAlignment="1" applyBorder="1" applyFont="1">
      <alignment horizontal="center" readingOrder="0" vertical="center"/>
    </xf>
    <xf borderId="21" fillId="4" fontId="24" numFmtId="0" xfId="0" applyAlignment="1" applyBorder="1" applyFont="1">
      <alignment horizontal="center" readingOrder="0" vertical="center"/>
    </xf>
    <xf borderId="14" fillId="3" fontId="24" numFmtId="0" xfId="0" applyAlignment="1" applyBorder="1" applyFont="1">
      <alignment horizontal="center" readingOrder="0" vertical="center"/>
    </xf>
    <xf borderId="10" fillId="0" fontId="47" numFmtId="0" xfId="0" applyAlignment="1" applyBorder="1" applyFont="1">
      <alignment horizontal="center" readingOrder="0" vertical="center"/>
    </xf>
    <xf borderId="22" fillId="4" fontId="24" numFmtId="0" xfId="0" applyAlignment="1" applyBorder="1" applyFont="1">
      <alignment horizontal="center" readingOrder="0" vertical="center"/>
    </xf>
    <xf borderId="12" fillId="8" fontId="29" numFmtId="0" xfId="0" applyAlignment="1" applyBorder="1" applyFont="1">
      <alignment horizontal="center" vertical="center"/>
    </xf>
    <xf borderId="15" fillId="0" fontId="1" numFmtId="0" xfId="0" applyAlignment="1" applyBorder="1" applyFont="1">
      <alignment horizontal="center" readingOrder="0" vertical="center"/>
    </xf>
    <xf borderId="14" fillId="3" fontId="29" numFmtId="0" xfId="0" applyAlignment="1" applyBorder="1" applyFont="1">
      <alignment horizontal="center" vertical="center"/>
    </xf>
    <xf borderId="0" fillId="8" fontId="29" numFmtId="0" xfId="0" applyAlignment="1" applyFont="1">
      <alignment horizontal="center" vertical="center"/>
    </xf>
    <xf borderId="14" fillId="3" fontId="14" numFmtId="0" xfId="0" applyAlignment="1" applyBorder="1" applyFont="1">
      <alignment horizontal="center" vertical="center"/>
    </xf>
    <xf borderId="0" fillId="0" fontId="119" numFmtId="0" xfId="0" applyAlignment="1" applyFont="1">
      <alignment horizontal="center" readingOrder="0" vertical="center"/>
    </xf>
    <xf borderId="12" fillId="0" fontId="119" numFmtId="0" xfId="0" applyAlignment="1" applyBorder="1" applyFont="1">
      <alignment horizontal="center" readingOrder="0" vertical="center"/>
    </xf>
    <xf borderId="11" fillId="0" fontId="37" numFmtId="0" xfId="0" applyAlignment="1" applyBorder="1" applyFont="1">
      <alignment horizontal="left" readingOrder="0" shrinkToFit="0" vertical="center" wrapText="1"/>
    </xf>
    <xf borderId="0" fillId="0" fontId="28" numFmtId="0" xfId="0" applyAlignment="1" applyFont="1">
      <alignment horizontal="center" shrinkToFit="0" vertical="center" wrapText="1"/>
    </xf>
    <xf borderId="0" fillId="0" fontId="120" numFmtId="0" xfId="0" applyAlignment="1" applyFont="1">
      <alignment horizontal="center" shrinkToFit="0" vertical="center" wrapText="1"/>
    </xf>
    <xf borderId="0" fillId="3" fontId="121" numFmtId="0" xfId="0" applyAlignment="1" applyFont="1">
      <alignment horizontal="center" readingOrder="0" vertical="center"/>
    </xf>
    <xf borderId="21" fillId="0" fontId="3" numFmtId="0" xfId="0" applyAlignment="1" applyBorder="1" applyFont="1">
      <alignment horizontal="center" shrinkToFit="0" vertical="center" wrapText="1"/>
    </xf>
    <xf borderId="11" fillId="2" fontId="122" numFmtId="0" xfId="0" applyAlignment="1" applyBorder="1" applyFont="1">
      <alignment horizontal="center" readingOrder="0" vertical="center"/>
    </xf>
    <xf borderId="21" fillId="0" fontId="36" numFmtId="0" xfId="0" applyAlignment="1" applyBorder="1" applyFont="1">
      <alignment horizontal="center" readingOrder="0" vertical="center"/>
    </xf>
    <xf borderId="21" fillId="0" fontId="96" numFmtId="0" xfId="0" applyAlignment="1" applyBorder="1" applyFont="1">
      <alignment horizontal="left" readingOrder="0" shrinkToFit="0" vertical="center" wrapText="1"/>
    </xf>
    <xf borderId="0" fillId="0" fontId="1" numFmtId="0" xfId="0" applyAlignment="1" applyFont="1">
      <alignment vertical="center"/>
    </xf>
    <xf borderId="0" fillId="0" fontId="89" numFmtId="0" xfId="0" applyAlignment="1" applyFont="1">
      <alignment vertical="center"/>
    </xf>
    <xf borderId="0" fillId="3" fontId="67" numFmtId="0" xfId="0" applyAlignment="1" applyFont="1">
      <alignment horizontal="center" readingOrder="0" vertical="center"/>
    </xf>
    <xf borderId="30" fillId="0" fontId="23" numFmtId="0" xfId="0" applyAlignment="1" applyBorder="1" applyFont="1">
      <alignment horizontal="center" vertical="center"/>
    </xf>
    <xf borderId="32" fillId="0" fontId="24" numFmtId="0" xfId="0" applyAlignment="1" applyBorder="1" applyFont="1">
      <alignment horizontal="center"/>
    </xf>
    <xf borderId="8" fillId="0" fontId="31" numFmtId="0" xfId="0" applyAlignment="1" applyBorder="1" applyFont="1">
      <alignment horizontal="center" vertical="center"/>
    </xf>
    <xf borderId="0" fillId="3" fontId="88" numFmtId="0" xfId="0" applyAlignment="1" applyFont="1">
      <alignment horizontal="center" readingOrder="0" vertical="center"/>
    </xf>
    <xf borderId="47" fillId="0" fontId="24" numFmtId="0" xfId="0" applyAlignment="1" applyBorder="1" applyFont="1">
      <alignment horizontal="center"/>
    </xf>
    <xf borderId="42" fillId="8" fontId="11" numFmtId="0" xfId="0" applyAlignment="1" applyBorder="1" applyFont="1">
      <alignment horizontal="center" readingOrder="0" vertical="center"/>
    </xf>
    <xf borderId="0" fillId="0" fontId="101" numFmtId="0" xfId="0" applyAlignment="1" applyFont="1">
      <alignment horizontal="center" readingOrder="0" shrinkToFit="0" vertical="center" wrapText="0"/>
    </xf>
    <xf borderId="35" fillId="3" fontId="24" numFmtId="0" xfId="0" applyAlignment="1" applyBorder="1" applyFont="1">
      <alignment horizontal="center" vertical="center"/>
    </xf>
    <xf borderId="34" fillId="3" fontId="68" numFmtId="0" xfId="0" applyAlignment="1" applyBorder="1" applyFont="1">
      <alignment horizontal="center" readingOrder="0" vertical="center"/>
    </xf>
    <xf borderId="36" fillId="0" fontId="31" numFmtId="0" xfId="0" applyAlignment="1" applyBorder="1" applyFont="1">
      <alignment horizontal="center" vertical="center"/>
    </xf>
    <xf borderId="49" fillId="0" fontId="23" numFmtId="0" xfId="0" applyAlignment="1" applyBorder="1" applyFont="1">
      <alignment horizontal="center" vertical="center"/>
    </xf>
    <xf borderId="24" fillId="3" fontId="24" numFmtId="0" xfId="0" applyAlignment="1" applyBorder="1" applyFont="1">
      <alignment horizontal="center" vertical="center"/>
    </xf>
    <xf borderId="38" fillId="3" fontId="68" numFmtId="0" xfId="0" applyAlignment="1" applyBorder="1" applyFont="1">
      <alignment horizontal="center" readingOrder="0" vertical="center"/>
    </xf>
    <xf borderId="24" fillId="0" fontId="24" numFmtId="0" xfId="0" applyAlignment="1" applyBorder="1" applyFont="1">
      <alignment horizontal="center" readingOrder="0" vertical="center"/>
    </xf>
    <xf borderId="5" fillId="0" fontId="31" numFmtId="0" xfId="0" applyAlignment="1" applyBorder="1" applyFont="1">
      <alignment horizontal="center" vertical="center"/>
    </xf>
    <xf borderId="0" fillId="0" fontId="123" numFmtId="0" xfId="0" applyAlignment="1" applyFont="1">
      <alignment horizontal="center" vertical="center"/>
    </xf>
    <xf borderId="0" fillId="0" fontId="124" numFmtId="0" xfId="0" applyAlignment="1" applyFont="1">
      <alignment horizontal="center" vertical="center"/>
    </xf>
    <xf borderId="12" fillId="3" fontId="16" numFmtId="0" xfId="0" applyAlignment="1" applyBorder="1" applyFont="1">
      <alignment horizontal="center" readingOrder="0" vertical="center"/>
    </xf>
    <xf borderId="28" fillId="0" fontId="11" numFmtId="0" xfId="0" applyAlignment="1" applyBorder="1" applyFont="1">
      <alignment horizontal="center" readingOrder="0" shrinkToFit="0" vertical="center" wrapText="0"/>
    </xf>
    <xf borderId="32" fillId="0" fontId="11" numFmtId="0" xfId="0" applyAlignment="1" applyBorder="1" applyFont="1">
      <alignment horizontal="center" readingOrder="0" shrinkToFit="0" vertical="center" wrapText="0"/>
    </xf>
    <xf borderId="8" fillId="3" fontId="11" numFmtId="0" xfId="0" applyAlignment="1" applyBorder="1" applyFont="1">
      <alignment horizontal="center" readingOrder="0" shrinkToFit="0" vertical="center" wrapText="0"/>
    </xf>
    <xf borderId="31" fillId="4" fontId="11" numFmtId="0" xfId="0" applyAlignment="1" applyBorder="1" applyFont="1">
      <alignment horizontal="center" readingOrder="0" shrinkToFit="0" vertical="center" wrapText="0"/>
    </xf>
    <xf borderId="39" fillId="0" fontId="23" numFmtId="0" xfId="0" applyAlignment="1" applyBorder="1" applyFont="1">
      <alignment horizontal="center" vertical="center"/>
    </xf>
    <xf borderId="0" fillId="3" fontId="125" numFmtId="0" xfId="0" applyAlignment="1" applyFont="1">
      <alignment horizontal="center" readingOrder="0" vertical="center"/>
    </xf>
    <xf borderId="0" fillId="3" fontId="83" numFmtId="0" xfId="0" applyAlignment="1" applyFont="1">
      <alignment horizontal="center" readingOrder="0" vertical="center"/>
    </xf>
    <xf borderId="22" fillId="3" fontId="93" numFmtId="0" xfId="0" applyAlignment="1" applyBorder="1" applyFont="1">
      <alignment horizontal="center" readingOrder="0" vertical="center"/>
    </xf>
    <xf borderId="42" fillId="6" fontId="126" numFmtId="0" xfId="0" applyAlignment="1" applyBorder="1" applyFont="1">
      <alignment horizontal="center" readingOrder="0" vertical="center"/>
    </xf>
    <xf borderId="3" fillId="0" fontId="31" numFmtId="0" xfId="0" applyAlignment="1" applyBorder="1" applyFont="1">
      <alignment horizontal="center" vertical="center"/>
    </xf>
    <xf borderId="33" fillId="0" fontId="23" numFmtId="0" xfId="0" applyAlignment="1" applyBorder="1" applyFont="1">
      <alignment horizontal="center" vertical="center"/>
    </xf>
    <xf borderId="35" fillId="0" fontId="24" numFmtId="0" xfId="0" applyAlignment="1" applyBorder="1" applyFont="1">
      <alignment horizontal="center" vertical="center"/>
    </xf>
    <xf borderId="1" fillId="0" fontId="31" numFmtId="0" xfId="0" applyAlignment="1" applyBorder="1" applyFont="1">
      <alignment horizontal="center" vertical="center"/>
    </xf>
    <xf borderId="0" fillId="0" fontId="69" numFmtId="0" xfId="0" applyAlignment="1" applyFont="1">
      <alignment horizontal="center" vertical="center"/>
    </xf>
    <xf borderId="0" fillId="0" fontId="72" numFmtId="0" xfId="0" applyAlignment="1" applyFont="1">
      <alignment horizontal="center" vertical="center"/>
    </xf>
    <xf borderId="24" fillId="3" fontId="23" numFmtId="0" xfId="0" applyAlignment="1" applyBorder="1" applyFont="1">
      <alignment horizontal="center" vertical="center"/>
    </xf>
    <xf borderId="57" fillId="3" fontId="68" numFmtId="0" xfId="0" applyAlignment="1" applyBorder="1" applyFont="1">
      <alignment horizontal="center" readingOrder="0" vertical="center"/>
    </xf>
    <xf borderId="24" fillId="3" fontId="24" numFmtId="0" xfId="0" applyAlignment="1" applyBorder="1" applyFont="1">
      <alignment horizontal="center" readingOrder="0" vertical="center"/>
    </xf>
    <xf borderId="41" fillId="3" fontId="31" numFmtId="0" xfId="0" applyAlignment="1" applyBorder="1" applyFont="1">
      <alignment horizontal="center" vertical="center"/>
    </xf>
    <xf borderId="0" fillId="3" fontId="24" numFmtId="0" xfId="0" applyAlignment="1" applyFont="1">
      <alignment horizontal="center" readingOrder="0" vertical="center"/>
    </xf>
    <xf borderId="16" fillId="3" fontId="82" numFmtId="0" xfId="0" applyAlignment="1" applyBorder="1" applyFont="1">
      <alignment horizontal="center" readingOrder="0" vertical="center"/>
    </xf>
    <xf borderId="1" fillId="3" fontId="82" numFmtId="0" xfId="0" applyAlignment="1" applyBorder="1" applyFont="1">
      <alignment horizontal="center" readingOrder="0" vertical="center"/>
    </xf>
    <xf borderId="0" fillId="3" fontId="85" numFmtId="0" xfId="0" applyAlignment="1" applyFont="1">
      <alignment horizontal="center" readingOrder="0" vertical="center"/>
    </xf>
    <xf borderId="0" fillId="3" fontId="127" numFmtId="0" xfId="0" applyAlignment="1" applyFont="1">
      <alignment horizontal="center" readingOrder="0" shrinkToFit="0" vertical="center" wrapText="1"/>
    </xf>
    <xf borderId="35" fillId="3" fontId="48" numFmtId="0" xfId="0" applyAlignment="1" applyBorder="1" applyFont="1">
      <alignment horizontal="center" readingOrder="0" vertical="center"/>
    </xf>
    <xf borderId="0" fillId="0" fontId="15" numFmtId="0" xfId="0" applyAlignment="1" applyFont="1">
      <alignment horizontal="center" readingOrder="0" shrinkToFit="0" vertical="center" wrapText="1"/>
    </xf>
    <xf borderId="0" fillId="3" fontId="14" numFmtId="0" xfId="0" applyAlignment="1" applyFont="1">
      <alignment horizontal="center" readingOrder="0" vertical="center"/>
    </xf>
    <xf borderId="0" fillId="0" fontId="128" numFmtId="0" xfId="0" applyAlignment="1" applyFont="1">
      <alignment horizontal="center" vertical="center"/>
    </xf>
    <xf borderId="12" fillId="0" fontId="5" numFmtId="0" xfId="0" applyAlignment="1" applyBorder="1" applyFont="1">
      <alignment horizontal="center" readingOrder="0" vertical="center"/>
    </xf>
    <xf borderId="12" fillId="0" fontId="60" numFmtId="0" xfId="0" applyAlignment="1" applyBorder="1" applyFont="1">
      <alignment horizontal="center" readingOrder="0" vertical="center"/>
    </xf>
    <xf borderId="12" fillId="0" fontId="16" numFmtId="0" xfId="0" applyAlignment="1" applyBorder="1" applyFont="1">
      <alignment horizontal="center" readingOrder="0" vertical="center"/>
    </xf>
    <xf borderId="0" fillId="0" fontId="60" numFmtId="0" xfId="0" applyAlignment="1" applyFont="1">
      <alignment horizontal="center" readingOrder="0" vertical="center"/>
    </xf>
    <xf borderId="0" fillId="0" fontId="16" numFmtId="0" xfId="0" applyAlignment="1" applyFont="1">
      <alignment horizontal="center" readingOrder="0" vertical="center"/>
    </xf>
    <xf borderId="32" fillId="0" fontId="29" numFmtId="0" xfId="0" applyAlignment="1" applyBorder="1" applyFont="1">
      <alignment horizontal="center" readingOrder="0" vertical="center"/>
    </xf>
    <xf borderId="32" fillId="3" fontId="129" numFmtId="0" xfId="0" applyAlignment="1" applyBorder="1" applyFont="1">
      <alignment horizontal="center" readingOrder="0" vertical="center"/>
    </xf>
    <xf borderId="25" fillId="6" fontId="115" numFmtId="0" xfId="0" applyAlignment="1" applyBorder="1" applyFont="1">
      <alignment horizontal="center" readingOrder="0" shrinkToFit="0" vertical="center" wrapText="1"/>
    </xf>
    <xf borderId="28" fillId="0" fontId="23" numFmtId="0" xfId="0" applyAlignment="1" applyBorder="1" applyFont="1">
      <alignment horizontal="center" readingOrder="0"/>
    </xf>
    <xf borderId="10" fillId="0" fontId="24" numFmtId="0" xfId="0" applyAlignment="1" applyBorder="1" applyFont="1">
      <alignment horizontal="center"/>
    </xf>
    <xf borderId="10" fillId="0" fontId="33" numFmtId="0" xfId="0" applyAlignment="1" applyBorder="1" applyFont="1">
      <alignment horizontal="center" readingOrder="0" vertical="center"/>
    </xf>
    <xf borderId="10" fillId="3" fontId="24" numFmtId="0" xfId="0" applyAlignment="1" applyBorder="1" applyFont="1">
      <alignment horizontal="center"/>
    </xf>
    <xf borderId="40" fillId="0" fontId="32" numFmtId="0" xfId="0" applyBorder="1" applyFont="1"/>
    <xf borderId="23" fillId="4" fontId="32" numFmtId="0" xfId="0" applyBorder="1" applyFont="1"/>
    <xf borderId="30" fillId="0" fontId="23" numFmtId="0" xfId="0" applyAlignment="1" applyBorder="1" applyFont="1">
      <alignment horizontal="center" readingOrder="0"/>
    </xf>
    <xf borderId="29" fillId="0" fontId="32" numFmtId="0" xfId="0" applyBorder="1" applyFont="1"/>
    <xf borderId="33" fillId="0" fontId="23" numFmtId="0" xfId="0" applyAlignment="1" applyBorder="1" applyFont="1">
      <alignment horizontal="center" readingOrder="0"/>
    </xf>
    <xf borderId="35" fillId="0" fontId="24" numFmtId="0" xfId="0" applyAlignment="1" applyBorder="1" applyFont="1">
      <alignment horizontal="center"/>
    </xf>
    <xf borderId="58" fillId="0" fontId="33" numFmtId="0" xfId="0" applyAlignment="1" applyBorder="1" applyFont="1">
      <alignment horizontal="center" readingOrder="0" vertical="center"/>
    </xf>
    <xf borderId="17" fillId="0" fontId="32" numFmtId="0" xfId="0" applyBorder="1" applyFont="1"/>
    <xf borderId="0" fillId="0" fontId="69" numFmtId="0" xfId="0" applyAlignment="1" applyFont="1">
      <alignment horizontal="center" vertical="center"/>
    </xf>
    <xf borderId="0" fillId="0" fontId="32" numFmtId="0" xfId="0" applyAlignment="1" applyFont="1">
      <alignment horizontal="center" vertical="center"/>
    </xf>
    <xf borderId="0" fillId="0" fontId="121" numFmtId="0" xfId="0" applyAlignment="1" applyFont="1">
      <alignment horizontal="center" readingOrder="0" vertical="center"/>
    </xf>
    <xf borderId="34" fillId="0" fontId="24" numFmtId="0" xfId="0" applyAlignment="1" applyBorder="1" applyFont="1">
      <alignment horizontal="center" readingOrder="0" vertical="center"/>
    </xf>
    <xf borderId="0" fillId="0" fontId="66" numFmtId="0" xfId="0" applyAlignment="1" applyFont="1">
      <alignment horizontal="center" vertical="center"/>
    </xf>
    <xf borderId="53" fillId="4" fontId="24" numFmtId="0" xfId="0" applyAlignment="1" applyBorder="1" applyFont="1">
      <alignment horizontal="center" readingOrder="0" vertical="bottom"/>
    </xf>
    <xf borderId="59" fillId="3" fontId="23" numFmtId="0" xfId="0" applyAlignment="1" applyBorder="1" applyFont="1">
      <alignment horizontal="center" readingOrder="0" vertical="center"/>
    </xf>
    <xf borderId="59" fillId="3" fontId="24" numFmtId="0" xfId="0" applyAlignment="1" applyBorder="1" applyFont="1">
      <alignment horizontal="center" vertical="center"/>
    </xf>
    <xf borderId="59" fillId="3" fontId="24" numFmtId="0" xfId="0" applyAlignment="1" applyBorder="1" applyFont="1">
      <alignment horizontal="center" readingOrder="0" vertical="center"/>
    </xf>
    <xf borderId="59" fillId="3" fontId="83" numFmtId="0" xfId="0" applyAlignment="1" applyBorder="1" applyFont="1">
      <alignment horizontal="center" readingOrder="0" vertical="center"/>
    </xf>
    <xf borderId="12" fillId="3" fontId="23" numFmtId="0" xfId="0" applyAlignment="1" applyBorder="1" applyFont="1">
      <alignment horizontal="center" vertical="center"/>
    </xf>
    <xf borderId="12" fillId="3" fontId="24" numFmtId="0" xfId="0" applyAlignment="1" applyBorder="1" applyFont="1">
      <alignment horizontal="center" vertical="center"/>
    </xf>
    <xf borderId="12" fillId="3" fontId="24" numFmtId="164" xfId="0" applyAlignment="1" applyBorder="1" applyFont="1" applyNumberFormat="1">
      <alignment horizontal="center" readingOrder="0" vertical="center"/>
    </xf>
    <xf borderId="12" fillId="3" fontId="24" numFmtId="0" xfId="0" applyAlignment="1" applyBorder="1" applyFont="1">
      <alignment horizontal="center" readingOrder="0" vertical="center"/>
    </xf>
    <xf borderId="12" fillId="3" fontId="83" numFmtId="0" xfId="0" applyAlignment="1" applyBorder="1" applyFont="1">
      <alignment horizontal="center" readingOrder="0" vertical="center"/>
    </xf>
    <xf borderId="0" fillId="3" fontId="15" numFmtId="0" xfId="0" applyAlignment="1" applyFont="1">
      <alignment horizontal="center" readingOrder="0" shrinkToFit="0" vertical="center" wrapText="1"/>
    </xf>
    <xf borderId="12" fillId="0" fontId="37" numFmtId="0" xfId="0" applyAlignment="1" applyBorder="1" applyFont="1">
      <alignment horizontal="left" readingOrder="0" shrinkToFit="0" vertical="center" wrapText="1"/>
    </xf>
    <xf borderId="0" fillId="0" fontId="110" numFmtId="0" xfId="0" applyAlignment="1" applyFont="1">
      <alignment horizontal="left" readingOrder="0" shrinkToFit="0" vertical="top" wrapText="1"/>
    </xf>
    <xf borderId="0" fillId="3" fontId="111" numFmtId="0" xfId="0" applyAlignment="1" applyFont="1">
      <alignment horizontal="left" readingOrder="0"/>
    </xf>
    <xf borderId="2" fillId="0" fontId="3" numFmtId="0" xfId="0" applyAlignment="1" applyBorder="1" applyFont="1">
      <alignment horizontal="center" shrinkToFit="0" vertical="center" wrapText="1"/>
    </xf>
    <xf borderId="5" fillId="2" fontId="85" numFmtId="0" xfId="0" applyAlignment="1" applyBorder="1" applyFont="1">
      <alignment horizontal="center" readingOrder="0" vertical="center"/>
    </xf>
    <xf borderId="8" fillId="0" fontId="36" numFmtId="0" xfId="0" applyAlignment="1" applyBorder="1" applyFont="1">
      <alignment horizontal="center" readingOrder="0" vertical="center"/>
    </xf>
    <xf borderId="8" fillId="0" fontId="96" numFmtId="0" xfId="0" applyAlignment="1" applyBorder="1" applyFont="1">
      <alignment horizontal="left" readingOrder="0" shrinkToFit="0" vertical="center" wrapText="1"/>
    </xf>
    <xf borderId="58" fillId="0" fontId="24" numFmtId="0" xfId="0" applyAlignment="1" applyBorder="1" applyFont="1">
      <alignment horizontal="center" vertical="center"/>
    </xf>
    <xf borderId="32" fillId="0" fontId="68" numFmtId="0" xfId="0" applyAlignment="1" applyBorder="1" applyFont="1">
      <alignment horizontal="center" readingOrder="0" vertical="center"/>
    </xf>
    <xf borderId="22" fillId="3" fontId="11" numFmtId="0" xfId="0" applyAlignment="1" applyBorder="1" applyFont="1">
      <alignment horizontal="center" readingOrder="0" shrinkToFit="0" vertical="center" wrapText="1"/>
    </xf>
    <xf borderId="22" fillId="3" fontId="3" numFmtId="0" xfId="0" applyAlignment="1" applyBorder="1" applyFont="1">
      <alignment horizontal="center" readingOrder="0" vertical="center"/>
    </xf>
    <xf borderId="42" fillId="6" fontId="93" numFmtId="0" xfId="0" applyAlignment="1" applyBorder="1" applyFont="1">
      <alignment horizontal="center" readingOrder="0" vertical="center"/>
    </xf>
    <xf borderId="31" fillId="4" fontId="23" numFmtId="0" xfId="0" applyAlignment="1" applyBorder="1" applyFont="1">
      <alignment horizontal="center" readingOrder="0" vertical="center"/>
    </xf>
    <xf borderId="21" fillId="2" fontId="130" numFmtId="0" xfId="0" applyAlignment="1" applyBorder="1" applyFont="1">
      <alignment horizontal="center" readingOrder="0" vertical="center"/>
    </xf>
    <xf borderId="0" fillId="3" fontId="130" numFmtId="0" xfId="0" applyAlignment="1" applyFont="1">
      <alignment horizontal="center" readingOrder="0" vertical="center"/>
    </xf>
    <xf borderId="25" fillId="6" fontId="12" numFmtId="0" xfId="0" applyAlignment="1" applyBorder="1" applyFont="1">
      <alignment horizontal="center" readingOrder="0" vertical="center"/>
    </xf>
    <xf borderId="8" fillId="3" fontId="131" numFmtId="0" xfId="0" applyAlignment="1" applyBorder="1" applyFont="1">
      <alignment horizontal="left"/>
    </xf>
    <xf borderId="32" fillId="3" fontId="132" numFmtId="0" xfId="0" applyAlignment="1" applyBorder="1" applyFont="1">
      <alignment horizontal="left"/>
    </xf>
    <xf borderId="8" fillId="3" fontId="31" numFmtId="0" xfId="0" applyAlignment="1" applyBorder="1" applyFont="1">
      <alignment horizontal="center" vertical="center"/>
    </xf>
    <xf borderId="21" fillId="2" fontId="82" numFmtId="0" xfId="0" applyAlignment="1" applyBorder="1" applyFont="1">
      <alignment horizontal="center" readingOrder="0" vertical="center"/>
    </xf>
    <xf borderId="25" fillId="6" fontId="93" numFmtId="0" xfId="0" applyAlignment="1" applyBorder="1" applyFont="1">
      <alignment horizontal="center" readingOrder="0" shrinkToFit="0" vertical="center" wrapText="1"/>
    </xf>
    <xf borderId="32" fillId="0" fontId="33" numFmtId="0" xfId="0" applyAlignment="1" applyBorder="1" applyFont="1">
      <alignment horizontal="center" vertical="center"/>
    </xf>
    <xf borderId="18" fillId="3" fontId="47" numFmtId="0" xfId="0" applyAlignment="1" applyBorder="1" applyFont="1">
      <alignment horizontal="center" readingOrder="0" vertical="center"/>
    </xf>
    <xf borderId="34" fillId="0" fontId="33" numFmtId="0" xfId="0" applyAlignment="1" applyBorder="1" applyFont="1">
      <alignment horizontal="center" vertical="center"/>
    </xf>
    <xf borderId="25" fillId="6" fontId="12" numFmtId="0" xfId="0" applyAlignment="1" applyBorder="1" applyFont="1">
      <alignment horizontal="center" readingOrder="0" shrinkToFit="0" vertical="center" wrapText="1"/>
    </xf>
    <xf borderId="4" fillId="0" fontId="24" numFmtId="0" xfId="0" applyAlignment="1" applyBorder="1" applyFont="1">
      <alignment horizontal="center" vertical="center"/>
    </xf>
    <xf borderId="35" fillId="0" fontId="24" numFmtId="0" xfId="0" applyAlignment="1" applyBorder="1" applyFont="1">
      <alignment horizontal="center" vertical="center"/>
    </xf>
    <xf borderId="4" fillId="0" fontId="24" numFmtId="164" xfId="0" applyAlignment="1" applyBorder="1" applyFont="1" applyNumberFormat="1">
      <alignment horizontal="center" readingOrder="0" vertical="center"/>
    </xf>
    <xf borderId="35" fillId="0" fontId="24" numFmtId="164" xfId="0" applyAlignment="1" applyBorder="1" applyFont="1" applyNumberFormat="1">
      <alignment horizontal="center" readingOrder="0" vertical="center"/>
    </xf>
    <xf borderId="12" fillId="3" fontId="15" numFmtId="0" xfId="0" applyAlignment="1" applyBorder="1" applyFont="1">
      <alignment horizontal="center" readingOrder="0" shrinkToFit="0" vertical="center" wrapText="1"/>
    </xf>
    <xf borderId="5" fillId="3" fontId="36" numFmtId="0" xfId="0" applyAlignment="1" applyBorder="1" applyFont="1">
      <alignment horizontal="center" readingOrder="0" vertical="center"/>
    </xf>
    <xf borderId="24" fillId="3" fontId="36" numFmtId="0" xfId="0" applyAlignment="1" applyBorder="1" applyFont="1">
      <alignment horizontal="center" readingOrder="0" vertical="center"/>
    </xf>
    <xf borderId="12" fillId="0" fontId="109" numFmtId="0" xfId="0" applyAlignment="1" applyBorder="1" applyFont="1">
      <alignment horizontal="left" readingOrder="0" shrinkToFit="0" vertical="center" wrapText="1"/>
    </xf>
    <xf borderId="0" fillId="3" fontId="59" numFmtId="0" xfId="0" applyAlignment="1" applyFont="1">
      <alignment horizontal="center" readingOrder="0" vertical="bottom"/>
    </xf>
    <xf borderId="21" fillId="0" fontId="3" numFmtId="0" xfId="0" applyAlignment="1" applyBorder="1" applyFont="1">
      <alignment horizontal="center" readingOrder="0"/>
    </xf>
    <xf borderId="21" fillId="0" fontId="6" numFmtId="0" xfId="0" applyAlignment="1" applyBorder="1" applyFont="1">
      <alignment horizontal="center" readingOrder="0" shrinkToFit="0" vertical="center" wrapText="1"/>
    </xf>
    <xf borderId="0" fillId="0" fontId="52" numFmtId="0" xfId="0" applyAlignment="1" applyFont="1">
      <alignment horizontal="center" readingOrder="0"/>
    </xf>
    <xf borderId="0" fillId="3" fontId="52" numFmtId="0" xfId="0" applyAlignment="1" applyFont="1">
      <alignment horizontal="center" readingOrder="0" vertical="bottom"/>
    </xf>
    <xf borderId="0" fillId="7" fontId="14" numFmtId="0" xfId="0" applyAlignment="1" applyFont="1">
      <alignment horizontal="center"/>
    </xf>
    <xf borderId="7" fillId="0" fontId="11" numFmtId="0" xfId="0" applyAlignment="1" applyBorder="1" applyFont="1">
      <alignment horizontal="center" readingOrder="0" vertical="center"/>
    </xf>
    <xf borderId="3" fillId="0" fontId="31" numFmtId="0" xfId="0" applyAlignment="1" applyBorder="1" applyFont="1">
      <alignment horizontal="center" readingOrder="0" vertical="center"/>
    </xf>
    <xf borderId="0" fillId="0" fontId="65" numFmtId="0" xfId="0" applyFont="1"/>
    <xf borderId="17" fillId="4" fontId="24" numFmtId="0" xfId="0" applyAlignment="1" applyBorder="1" applyFont="1">
      <alignment horizontal="center" readingOrder="0" vertical="center"/>
    </xf>
    <xf borderId="37" fillId="3" fontId="23" numFmtId="0" xfId="0" applyAlignment="1" applyBorder="1" applyFont="1">
      <alignment horizontal="center" vertical="center"/>
    </xf>
    <xf borderId="5" fillId="3" fontId="48" numFmtId="0" xfId="0" applyAlignment="1" applyBorder="1" applyFont="1">
      <alignment horizontal="center" vertical="center"/>
    </xf>
    <xf borderId="5" fillId="3" fontId="33" numFmtId="0" xfId="0" applyAlignment="1" applyBorder="1" applyFont="1">
      <alignment horizontal="center" readingOrder="0" vertical="center"/>
    </xf>
    <xf borderId="5" fillId="3" fontId="25" numFmtId="0" xfId="0" applyAlignment="1" applyBorder="1" applyFont="1">
      <alignment horizontal="center" vertical="center"/>
    </xf>
    <xf borderId="51" fillId="4" fontId="23" numFmtId="0" xfId="0" applyAlignment="1" applyBorder="1" applyFont="1">
      <alignment horizontal="center" vertical="center"/>
    </xf>
    <xf borderId="0" fillId="3" fontId="11" numFmtId="0" xfId="0" applyAlignment="1" applyFont="1">
      <alignment horizontal="center" readingOrder="0" shrinkToFit="0" vertical="center" wrapText="1"/>
    </xf>
    <xf borderId="0" fillId="3" fontId="3" numFmtId="0" xfId="0" applyAlignment="1" applyFont="1">
      <alignment horizontal="center" readingOrder="0" vertical="center"/>
    </xf>
    <xf borderId="0" fillId="0" fontId="5" numFmtId="0" xfId="0" applyAlignment="1" applyFont="1">
      <alignment horizontal="center" readingOrder="0"/>
    </xf>
    <xf borderId="5" fillId="7" fontId="14" numFmtId="0" xfId="0" applyAlignment="1" applyBorder="1" applyFont="1">
      <alignment horizontal="center" vertical="center"/>
    </xf>
    <xf borderId="32" fillId="0" fontId="29" numFmtId="0" xfId="0" applyAlignment="1" applyBorder="1" applyFont="1">
      <alignment horizontal="center" readingOrder="0" vertical="center"/>
    </xf>
    <xf borderId="23" fillId="4" fontId="11" numFmtId="0" xfId="0" applyAlignment="1" applyBorder="1" applyFont="1">
      <alignment horizontal="center" readingOrder="0" vertical="center"/>
    </xf>
    <xf borderId="32" fillId="0" fontId="24" numFmtId="0" xfId="0" applyAlignment="1" applyBorder="1" applyFont="1">
      <alignment horizontal="center" readingOrder="0"/>
    </xf>
    <xf borderId="34" fillId="0" fontId="24" numFmtId="0" xfId="0" applyAlignment="1" applyBorder="1" applyFont="1">
      <alignment horizontal="center" readingOrder="0"/>
    </xf>
    <xf borderId="0" fillId="0" fontId="62" numFmtId="0" xfId="0" applyFont="1"/>
    <xf borderId="0" fillId="0" fontId="65" numFmtId="0" xfId="0" applyAlignment="1" applyFont="1">
      <alignment horizontal="center" readingOrder="0"/>
    </xf>
    <xf borderId="0" fillId="0" fontId="75" numFmtId="0" xfId="0" applyAlignment="1" applyFont="1">
      <alignment horizontal="center" readingOrder="0"/>
    </xf>
    <xf borderId="0" fillId="3" fontId="63" numFmtId="0" xfId="0" applyAlignment="1" applyFont="1">
      <alignment horizontal="center" readingOrder="0" vertical="bottom"/>
    </xf>
    <xf borderId="32" fillId="3" fontId="24" numFmtId="0" xfId="0" applyAlignment="1" applyBorder="1" applyFont="1">
      <alignment horizontal="center"/>
    </xf>
    <xf borderId="34" fillId="3" fontId="24" numFmtId="0" xfId="0" applyAlignment="1" applyBorder="1" applyFont="1">
      <alignment horizontal="center"/>
    </xf>
    <xf borderId="35" fillId="3" fontId="24" numFmtId="0" xfId="0" applyAlignment="1" applyBorder="1" applyFont="1">
      <alignment horizontal="center" readingOrder="0" vertical="center"/>
    </xf>
    <xf borderId="37" fillId="0" fontId="23" numFmtId="0" xfId="0" applyAlignment="1" applyBorder="1" applyFont="1">
      <alignment horizontal="center" readingOrder="0" vertical="center"/>
    </xf>
    <xf borderId="38" fillId="3" fontId="48" numFmtId="0" xfId="0" applyAlignment="1" applyBorder="1" applyFont="1">
      <alignment horizontal="center" vertical="center"/>
    </xf>
    <xf borderId="38" fillId="0" fontId="24" numFmtId="164" xfId="0" applyAlignment="1" applyBorder="1" applyFont="1" applyNumberFormat="1">
      <alignment horizontal="center" readingOrder="0" vertical="center"/>
    </xf>
    <xf borderId="5" fillId="0" fontId="24" numFmtId="0" xfId="0" applyAlignment="1" applyBorder="1" applyFont="1">
      <alignment horizontal="center" vertical="center"/>
    </xf>
    <xf borderId="12" fillId="3" fontId="11" numFmtId="0" xfId="0" applyAlignment="1" applyBorder="1" applyFont="1">
      <alignment horizontal="center" readingOrder="0" shrinkToFit="0" vertical="center" wrapText="1"/>
    </xf>
    <xf borderId="25" fillId="6" fontId="133" numFmtId="0" xfId="0" applyAlignment="1" applyBorder="1" applyFont="1">
      <alignment horizontal="center" readingOrder="0" vertical="bottom"/>
    </xf>
    <xf borderId="0" fillId="3" fontId="32" numFmtId="0" xfId="0" applyFont="1"/>
    <xf borderId="32" fillId="3" fontId="11" numFmtId="0" xfId="0" applyAlignment="1" applyBorder="1" applyFont="1">
      <alignment horizontal="center" readingOrder="0" shrinkToFit="0" vertical="center" wrapText="1"/>
    </xf>
    <xf borderId="32" fillId="0" fontId="134" numFmtId="0" xfId="0" applyAlignment="1" applyBorder="1" applyFont="1">
      <alignment horizontal="center" readingOrder="0" vertical="center"/>
    </xf>
    <xf borderId="32" fillId="3" fontId="135" numFmtId="0" xfId="0" applyAlignment="1" applyBorder="1" applyFont="1">
      <alignment horizontal="center" readingOrder="0" vertical="center"/>
    </xf>
    <xf borderId="32" fillId="0" fontId="23" numFmtId="0" xfId="0" applyAlignment="1" applyBorder="1" applyFont="1">
      <alignment horizontal="center" readingOrder="0" vertical="center"/>
    </xf>
    <xf borderId="34" fillId="3" fontId="135" numFmtId="0" xfId="0" applyAlignment="1" applyBorder="1" applyFont="1">
      <alignment horizontal="center" readingOrder="0" vertical="center"/>
    </xf>
    <xf borderId="0" fillId="0" fontId="6" numFmtId="0" xfId="0" applyAlignment="1" applyFont="1">
      <alignment horizontal="center" readingOrder="0" vertical="center"/>
    </xf>
    <xf borderId="0" fillId="0" fontId="32" numFmtId="0" xfId="0" applyAlignment="1" applyFont="1">
      <alignment readingOrder="0"/>
    </xf>
    <xf borderId="25" fillId="6" fontId="12" numFmtId="0" xfId="0" applyAlignment="1" applyBorder="1" applyFont="1">
      <alignment horizontal="center" readingOrder="0" vertical="center"/>
    </xf>
    <xf borderId="37" fillId="0" fontId="23" numFmtId="0" xfId="0" applyAlignment="1" applyBorder="1" applyFont="1">
      <alignment horizontal="center" vertical="center"/>
    </xf>
    <xf borderId="0" fillId="3" fontId="32" numFmtId="0" xfId="0" applyAlignment="1" applyFont="1">
      <alignment horizontal="center" vertical="bottom"/>
    </xf>
    <xf borderId="0" fillId="3" fontId="62" numFmtId="0" xfId="0" applyAlignment="1" applyFont="1">
      <alignment horizontal="center" vertical="bottom"/>
    </xf>
    <xf borderId="16" fillId="2" fontId="136" numFmtId="0" xfId="0" applyAlignment="1" applyBorder="1" applyFont="1">
      <alignment horizontal="center" readingOrder="0" vertical="center"/>
    </xf>
    <xf borderId="0" fillId="3" fontId="19" numFmtId="0" xfId="0" applyAlignment="1" applyFont="1">
      <alignment horizontal="left" readingOrder="0"/>
    </xf>
    <xf borderId="5" fillId="3" fontId="137" numFmtId="0" xfId="0" applyAlignment="1" applyBorder="1" applyFont="1">
      <alignment horizontal="center" readingOrder="0" vertical="center"/>
    </xf>
    <xf borderId="53" fillId="3" fontId="5" numFmtId="0" xfId="0" applyAlignment="1" applyBorder="1" applyFont="1">
      <alignment horizontal="center" readingOrder="0" vertical="center"/>
    </xf>
    <xf borderId="13" fillId="3" fontId="5" numFmtId="0" xfId="0" applyAlignment="1" applyBorder="1" applyFont="1">
      <alignment horizontal="center" readingOrder="0" vertical="center"/>
    </xf>
    <xf borderId="55" fillId="3" fontId="5" numFmtId="0" xfId="0" applyAlignment="1" applyBorder="1" applyFont="1">
      <alignment horizontal="center" readingOrder="0" vertical="center"/>
    </xf>
    <xf borderId="15" fillId="3" fontId="5" numFmtId="0" xfId="0" applyAlignment="1" applyBorder="1" applyFont="1">
      <alignment horizontal="center" readingOrder="0" vertical="center"/>
    </xf>
    <xf borderId="55" fillId="0" fontId="138" numFmtId="0" xfId="0" applyAlignment="1" applyBorder="1" applyFont="1">
      <alignment horizontal="left" readingOrder="0" shrinkToFit="0" vertical="top" wrapText="1"/>
    </xf>
    <xf borderId="55" fillId="3" fontId="139" numFmtId="0" xfId="0" applyAlignment="1" applyBorder="1" applyFont="1">
      <alignment horizontal="left" readingOrder="0"/>
    </xf>
    <xf borderId="51" fillId="3" fontId="5" numFmtId="0" xfId="0" applyAlignment="1" applyBorder="1" applyFont="1">
      <alignment horizontal="center" readingOrder="0" vertical="center"/>
    </xf>
    <xf borderId="31" fillId="3" fontId="5" numFmtId="0" xfId="0" applyAlignment="1" applyBorder="1" applyFont="1">
      <alignment horizontal="center" readingOrder="0" vertical="center"/>
    </xf>
    <xf borderId="41" fillId="0" fontId="32" numFmtId="0" xfId="0" applyBorder="1" applyFont="1"/>
    <xf borderId="11" fillId="2" fontId="85" numFmtId="0" xfId="0" applyAlignment="1" applyBorder="1" applyFont="1">
      <alignment horizontal="center" readingOrder="0" vertical="center"/>
    </xf>
    <xf borderId="21" fillId="0" fontId="6" numFmtId="0" xfId="0" applyAlignment="1" applyBorder="1" applyFont="1">
      <alignment horizontal="left" readingOrder="0" shrinkToFit="0" vertical="center" wrapText="1"/>
    </xf>
    <xf borderId="25" fillId="6" fontId="12" numFmtId="0" xfId="0" applyAlignment="1" applyBorder="1" applyFont="1">
      <alignment horizontal="center" readingOrder="0" shrinkToFit="0" vertical="bottom" wrapText="1"/>
    </xf>
    <xf borderId="46" fillId="3" fontId="66" numFmtId="0" xfId="0" applyAlignment="1" applyBorder="1" applyFont="1">
      <alignment horizontal="center" shrinkToFit="0" wrapText="1"/>
    </xf>
    <xf borderId="3" fillId="7" fontId="3" numFmtId="0" xfId="0" applyAlignment="1" applyBorder="1" applyFont="1">
      <alignment horizontal="center" readingOrder="0" vertical="bottom"/>
    </xf>
    <xf borderId="30" fillId="0" fontId="11" numFmtId="0" xfId="0" applyAlignment="1" applyBorder="1" applyFont="1">
      <alignment horizontal="center"/>
    </xf>
    <xf borderId="4" fillId="0" fontId="11" numFmtId="0" xfId="0" applyAlignment="1" applyBorder="1" applyFont="1">
      <alignment horizontal="center"/>
    </xf>
    <xf borderId="29" fillId="3" fontId="29" numFmtId="0" xfId="0" applyAlignment="1" applyBorder="1" applyFont="1">
      <alignment horizontal="center"/>
    </xf>
    <xf borderId="30" fillId="3" fontId="140" numFmtId="0" xfId="0" applyAlignment="1" applyBorder="1" applyFont="1">
      <alignment horizontal="center" vertical="center"/>
    </xf>
    <xf borderId="4" fillId="3" fontId="141" numFmtId="0" xfId="0" applyAlignment="1" applyBorder="1" applyFont="1">
      <alignment horizontal="center" vertical="center"/>
    </xf>
    <xf borderId="4" fillId="3" fontId="141" numFmtId="0" xfId="0" applyAlignment="1" applyBorder="1" applyFont="1">
      <alignment horizontal="center" vertical="center"/>
    </xf>
    <xf borderId="29" fillId="3" fontId="10" numFmtId="0" xfId="0" applyAlignment="1" applyBorder="1" applyFont="1">
      <alignment horizontal="center" vertical="center"/>
    </xf>
    <xf borderId="17" fillId="4" fontId="10" numFmtId="0" xfId="0" applyAlignment="1" applyBorder="1" applyFont="1">
      <alignment horizontal="center" readingOrder="0" vertical="center"/>
    </xf>
    <xf borderId="31" fillId="4" fontId="10" numFmtId="0" xfId="0" applyAlignment="1" applyBorder="1" applyFont="1">
      <alignment horizontal="center" readingOrder="0" vertical="center"/>
    </xf>
    <xf borderId="30" fillId="0" fontId="142" numFmtId="0" xfId="0" applyAlignment="1" applyBorder="1" applyFont="1">
      <alignment horizontal="center" vertical="center"/>
    </xf>
    <xf borderId="4" fillId="0" fontId="10" numFmtId="0" xfId="0" applyAlignment="1" applyBorder="1" applyFont="1">
      <alignment horizontal="center" vertical="center"/>
    </xf>
    <xf borderId="4" fillId="3" fontId="10" numFmtId="0" xfId="0" applyAlignment="1" applyBorder="1" applyFont="1">
      <alignment horizontal="center" vertical="center"/>
    </xf>
    <xf borderId="30" fillId="0" fontId="10" numFmtId="0" xfId="0" applyAlignment="1" applyBorder="1" applyFont="1">
      <alignment horizontal="center" vertical="center"/>
    </xf>
    <xf borderId="4" fillId="0" fontId="10" numFmtId="0" xfId="0" applyAlignment="1" applyBorder="1" applyFont="1">
      <alignment horizontal="center" vertical="center"/>
    </xf>
    <xf borderId="4" fillId="3" fontId="10" numFmtId="0" xfId="0" applyAlignment="1" applyBorder="1" applyFont="1">
      <alignment horizontal="center" vertical="center"/>
    </xf>
    <xf borderId="29" fillId="0" fontId="10" numFmtId="0" xfId="0" applyAlignment="1" applyBorder="1" applyFont="1">
      <alignment horizontal="center" vertical="center"/>
    </xf>
    <xf borderId="30" fillId="3" fontId="10" numFmtId="0" xfId="0" applyAlignment="1" applyBorder="1" applyFont="1">
      <alignment horizontal="center" vertical="center"/>
    </xf>
    <xf borderId="30" fillId="0" fontId="140" numFmtId="0" xfId="0" applyAlignment="1" applyBorder="1" applyFont="1">
      <alignment horizontal="center" vertical="center"/>
    </xf>
    <xf borderId="4" fillId="0" fontId="33" numFmtId="0" xfId="0" applyAlignment="1" applyBorder="1" applyFont="1">
      <alignment horizontal="center" vertical="center"/>
    </xf>
    <xf borderId="3" fillId="0" fontId="10" numFmtId="0" xfId="0" applyAlignment="1" applyBorder="1" applyFont="1">
      <alignment horizontal="center" vertical="center"/>
    </xf>
    <xf borderId="51" fillId="4" fontId="23" numFmtId="0" xfId="0" applyAlignment="1" applyBorder="1" applyFont="1">
      <alignment horizontal="center" readingOrder="0" vertical="center"/>
    </xf>
    <xf borderId="30" fillId="0" fontId="140" numFmtId="0" xfId="0" applyAlignment="1" applyBorder="1" applyFont="1">
      <alignment horizontal="center" vertical="center"/>
    </xf>
    <xf borderId="24" fillId="3" fontId="141" numFmtId="0" xfId="0" applyAlignment="1" applyBorder="1" applyFont="1">
      <alignment horizontal="center" vertical="center"/>
    </xf>
    <xf borderId="24" fillId="0" fontId="33" numFmtId="0" xfId="0" applyAlignment="1" applyBorder="1" applyFont="1">
      <alignment horizontal="center" vertical="center"/>
    </xf>
    <xf borderId="24" fillId="3" fontId="10" numFmtId="0" xfId="0" applyAlignment="1" applyBorder="1" applyFont="1">
      <alignment horizontal="center" vertical="center"/>
    </xf>
    <xf borderId="15" fillId="0" fontId="10" numFmtId="0" xfId="0" applyAlignment="1" applyBorder="1" applyFont="1">
      <alignment horizontal="center" vertical="center"/>
    </xf>
    <xf borderId="5" fillId="3" fontId="68" numFmtId="0" xfId="0" applyAlignment="1" applyBorder="1" applyFont="1">
      <alignment horizontal="center" vertical="center"/>
    </xf>
    <xf borderId="16" fillId="3" fontId="11" numFmtId="0" xfId="0" applyAlignment="1" applyBorder="1" applyFont="1">
      <alignment horizontal="center" shrinkToFit="0" wrapText="1"/>
    </xf>
    <xf borderId="36" fillId="7" fontId="14" numFmtId="0" xfId="0" applyAlignment="1" applyBorder="1" applyFont="1">
      <alignment horizontal="center" vertical="center"/>
    </xf>
    <xf borderId="14" fillId="0" fontId="32" numFmtId="0" xfId="0" applyBorder="1" applyFont="1"/>
    <xf borderId="21" fillId="4" fontId="11" numFmtId="0" xfId="0" applyAlignment="1" applyBorder="1" applyFont="1">
      <alignment horizontal="center" readingOrder="0" vertical="center"/>
    </xf>
    <xf borderId="32" fillId="3" fontId="143" numFmtId="0" xfId="0" applyAlignment="1" applyBorder="1" applyFont="1">
      <alignment horizontal="center" vertical="center"/>
    </xf>
    <xf borderId="34" fillId="3" fontId="143" numFmtId="0" xfId="0" applyAlignment="1" applyBorder="1" applyFont="1">
      <alignment horizontal="center" shrinkToFit="0" vertical="center" wrapText="0"/>
    </xf>
    <xf borderId="5" fillId="7" fontId="14" numFmtId="0" xfId="0" applyAlignment="1" applyBorder="1" applyFont="1">
      <alignment horizontal="center" readingOrder="0" vertical="center"/>
    </xf>
    <xf borderId="11" fillId="6" fontId="12" numFmtId="0" xfId="0" applyAlignment="1" applyBorder="1" applyFont="1">
      <alignment horizontal="center" readingOrder="0" vertical="bottom"/>
    </xf>
    <xf borderId="60" fillId="3" fontId="11" numFmtId="0" xfId="0" applyAlignment="1" applyBorder="1" applyFont="1">
      <alignment horizontal="center" readingOrder="0" shrinkToFit="0" vertical="center" wrapText="1"/>
    </xf>
    <xf borderId="61" fillId="7" fontId="3" numFmtId="0" xfId="0" applyAlignment="1" applyBorder="1" applyFont="1">
      <alignment horizontal="center" readingOrder="0" vertical="center"/>
    </xf>
    <xf borderId="12" fillId="3" fontId="29" numFmtId="0" xfId="0" applyAlignment="1" applyBorder="1" applyFont="1">
      <alignment horizontal="center" readingOrder="0" vertical="bottom"/>
    </xf>
    <xf borderId="0" fillId="0" fontId="66" numFmtId="0" xfId="0" applyAlignment="1" applyFont="1">
      <alignment vertical="center"/>
    </xf>
    <xf borderId="32" fillId="0" fontId="24" numFmtId="0" xfId="0" applyAlignment="1" applyBorder="1" applyFont="1">
      <alignment horizontal="center" vertical="bottom"/>
    </xf>
    <xf borderId="32" fillId="0" fontId="24" numFmtId="0" xfId="0" applyAlignment="1" applyBorder="1" applyFont="1">
      <alignment horizontal="center" readingOrder="0" vertical="bottom"/>
    </xf>
    <xf borderId="8" fillId="0" fontId="25" numFmtId="0" xfId="0" applyAlignment="1" applyBorder="1" applyFont="1">
      <alignment horizontal="center" readingOrder="0" vertical="bottom"/>
    </xf>
    <xf borderId="31" fillId="4" fontId="24" numFmtId="0" xfId="0" applyAlignment="1" applyBorder="1" applyFont="1">
      <alignment readingOrder="0" vertical="bottom"/>
    </xf>
    <xf borderId="39" fillId="0" fontId="23" numFmtId="0" xfId="0" applyAlignment="1" applyBorder="1" applyFont="1">
      <alignment horizontal="center" vertical="bottom"/>
    </xf>
    <xf borderId="34" fillId="0" fontId="24" numFmtId="0" xfId="0" applyAlignment="1" applyBorder="1" applyFont="1">
      <alignment horizontal="center" vertical="bottom"/>
    </xf>
    <xf borderId="34" fillId="0" fontId="24" numFmtId="0" xfId="0" applyAlignment="1" applyBorder="1" applyFont="1">
      <alignment horizontal="center" readingOrder="0" vertical="bottom"/>
    </xf>
    <xf borderId="36" fillId="0" fontId="25" numFmtId="0" xfId="0" applyAlignment="1" applyBorder="1" applyFont="1">
      <alignment horizontal="center" readingOrder="0" vertical="bottom"/>
    </xf>
    <xf borderId="25" fillId="6" fontId="12" numFmtId="0" xfId="0" applyAlignment="1" applyBorder="1" applyFont="1">
      <alignment horizontal="center" readingOrder="0" shrinkToFit="0" vertical="bottom" wrapText="1"/>
    </xf>
    <xf borderId="0" fillId="3" fontId="29" numFmtId="0" xfId="0" applyAlignment="1" applyFont="1">
      <alignment horizontal="center" vertical="center"/>
    </xf>
    <xf borderId="5" fillId="3" fontId="5" numFmtId="0" xfId="0" applyAlignment="1" applyBorder="1" applyFont="1">
      <alignment horizontal="center" readingOrder="0" vertical="center"/>
    </xf>
    <xf borderId="11" fillId="0" fontId="138"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5.jpg"/><Relationship Id="rId2"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5.jpg"/><Relationship Id="rId2" Type="http://schemas.openxmlformats.org/officeDocument/2006/relationships/image" Target="../media/image2.jpg"/></Relationships>
</file>

<file path=xl/drawings/_rels/drawing8.xml.rels><?xml version="1.0" encoding="UTF-8" standalone="yes"?><Relationships xmlns="http://schemas.openxmlformats.org/package/2006/relationships"><Relationship Id="rId1" Type="http://schemas.openxmlformats.org/officeDocument/2006/relationships/image" Target="../media/image5.jpg"/></Relationships>
</file>

<file path=xl/drawings/_rels/drawing9.xml.rels><?xml version="1.0" encoding="UTF-8" standalone="yes"?><Relationships xmlns="http://schemas.openxmlformats.org/package/2006/relationships"><Relationship Id="rId1" Type="http://schemas.openxmlformats.org/officeDocument/2006/relationships/image" Target="../media/image5.jpg"/></Relationships>
</file>

<file path=xl/drawings/_rels/drawing10.xml.rels><?xml version="1.0" encoding="UTF-8" standalone="yes"?><Relationships xmlns="http://schemas.openxmlformats.org/package/2006/relationships"><Relationship Id="rId1" Type="http://schemas.openxmlformats.org/officeDocument/2006/relationships/image" Target="../media/image9.jpg"/><Relationship Id="rId2" Type="http://schemas.openxmlformats.org/officeDocument/2006/relationships/image" Target="../media/image15.jpg"/></Relationships>
</file>

<file path=xl/drawings/_rels/drawing11.xml.rels><?xml version="1.0" encoding="UTF-8" standalone="yes"?><Relationships xmlns="http://schemas.openxmlformats.org/package/2006/relationships"><Relationship Id="rId1" Type="http://schemas.openxmlformats.org/officeDocument/2006/relationships/image" Target="../media/image9.jpg"/><Relationship Id="rId2" Type="http://schemas.openxmlformats.org/officeDocument/2006/relationships/image" Target="../media/image15.jpg"/></Relationships>
</file>

<file path=xl/drawings/_rels/drawing12.xml.rels><?xml version="1.0" encoding="UTF-8" standalone="yes"?><Relationships xmlns="http://schemas.openxmlformats.org/package/2006/relationships"><Relationship Id="rId1" Type="http://schemas.openxmlformats.org/officeDocument/2006/relationships/image" Target="../media/image15.jpg"/><Relationship Id="rId2" Type="http://schemas.openxmlformats.org/officeDocument/2006/relationships/image" Target="../media/image5.jpg"/></Relationships>
</file>

<file path=xl/drawings/_rels/drawing13.xml.rels><?xml version="1.0" encoding="UTF-8" standalone="yes"?><Relationships xmlns="http://schemas.openxmlformats.org/package/2006/relationships"><Relationship Id="rId1" Type="http://schemas.openxmlformats.org/officeDocument/2006/relationships/image" Target="../media/image9.jpg"/><Relationship Id="rId2" Type="http://schemas.openxmlformats.org/officeDocument/2006/relationships/image" Target="../media/image15.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5.jpg"/><Relationship Id="rId2"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371475</xdr:colOff>
      <xdr:row>0</xdr:row>
      <xdr:rowOff>0</xdr:rowOff>
    </xdr:from>
    <xdr:ext cx="2914650" cy="1552575"/>
    <xdr:pic>
      <xdr:nvPicPr>
        <xdr:cNvPr id="0" name="image5.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157</xdr:row>
      <xdr:rowOff>200025</xdr:rowOff>
    </xdr:from>
    <xdr:ext cx="1885950" cy="3505200"/>
    <xdr:pic>
      <xdr:nvPicPr>
        <xdr:cNvPr id="0" name="image2.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361950</xdr:colOff>
      <xdr:row>0</xdr:row>
      <xdr:rowOff>0</xdr:rowOff>
    </xdr:from>
    <xdr:ext cx="2933700" cy="1562100"/>
    <xdr:pic>
      <xdr:nvPicPr>
        <xdr:cNvPr id="0" name="image4.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9525</xdr:colOff>
      <xdr:row>143</xdr:row>
      <xdr:rowOff>190500</xdr:rowOff>
    </xdr:from>
    <xdr:ext cx="1885950" cy="3505200"/>
    <xdr:pic>
      <xdr:nvPicPr>
        <xdr:cNvPr id="0" name="image1.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390525</xdr:colOff>
      <xdr:row>0</xdr:row>
      <xdr:rowOff>0</xdr:rowOff>
    </xdr:from>
    <xdr:ext cx="2933700" cy="1562100"/>
    <xdr:pic>
      <xdr:nvPicPr>
        <xdr:cNvPr id="0" name="image3.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628650</xdr:colOff>
      <xdr:row>0</xdr:row>
      <xdr:rowOff>0</xdr:rowOff>
    </xdr:from>
    <xdr:ext cx="2933700" cy="1571625"/>
    <xdr:pic>
      <xdr:nvPicPr>
        <xdr:cNvPr id="0" name="image6.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057900" cy="1562100"/>
    <xdr:pic>
      <xdr:nvPicPr>
        <xdr:cNvPr id="0" name="image9.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166</xdr:row>
      <xdr:rowOff>180975</xdr:rowOff>
    </xdr:from>
    <xdr:ext cx="1971675" cy="3000375"/>
    <xdr:pic>
      <xdr:nvPicPr>
        <xdr:cNvPr id="0" name="image15.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791200" cy="1543050"/>
    <xdr:pic>
      <xdr:nvPicPr>
        <xdr:cNvPr id="0" name="image8.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158</xdr:row>
      <xdr:rowOff>180975</xdr:rowOff>
    </xdr:from>
    <xdr:ext cx="1905000" cy="3028950"/>
    <xdr:pic>
      <xdr:nvPicPr>
        <xdr:cNvPr id="0" name="image12.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158</xdr:row>
      <xdr:rowOff>190500</xdr:rowOff>
    </xdr:from>
    <xdr:ext cx="1905000" cy="2990850"/>
    <xdr:pic>
      <xdr:nvPicPr>
        <xdr:cNvPr id="0" name="image1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457200</xdr:colOff>
      <xdr:row>0</xdr:row>
      <xdr:rowOff>0</xdr:rowOff>
    </xdr:from>
    <xdr:ext cx="2924175" cy="1562100"/>
    <xdr:pic>
      <xdr:nvPicPr>
        <xdr:cNvPr id="0" name="image7.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753100" cy="1581150"/>
    <xdr:pic>
      <xdr:nvPicPr>
        <xdr:cNvPr id="0" name="image10.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156</xdr:row>
      <xdr:rowOff>190500</xdr:rowOff>
    </xdr:from>
    <xdr:ext cx="1905000" cy="3000375"/>
    <xdr:pic>
      <xdr:nvPicPr>
        <xdr:cNvPr id="0" name="image13.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156</xdr:row>
      <xdr:rowOff>190500</xdr:rowOff>
    </xdr:from>
    <xdr:ext cx="1895475" cy="3000375"/>
    <xdr:pic>
      <xdr:nvPicPr>
        <xdr:cNvPr id="0" name="image16.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409575</xdr:colOff>
      <xdr:row>0</xdr:row>
      <xdr:rowOff>0</xdr:rowOff>
    </xdr:from>
    <xdr:ext cx="2933700" cy="1571625"/>
    <xdr:pic>
      <xdr:nvPicPr>
        <xdr:cNvPr id="0" name="image14.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row>
    <row r="8">
      <c r="A8" s="2"/>
      <c r="B8" s="2"/>
      <c r="C8" s="2"/>
      <c r="D8" s="2"/>
      <c r="E8" s="2"/>
      <c r="F8" s="2"/>
    </row>
    <row r="9">
      <c r="A9" s="3" t="s">
        <v>0</v>
      </c>
      <c r="B9" s="4"/>
      <c r="C9" s="4"/>
      <c r="D9" s="4"/>
      <c r="E9" s="4"/>
      <c r="F9" s="5"/>
    </row>
    <row r="10">
      <c r="A10" s="6" t="str">
        <f>HYPERLINK("https://goo.gl/forms/3ibooB993Hi7SS2d2","PRESS TO RECORD BODY WEIGHT")</f>
        <v>PRESS TO RECORD BODY WEIGHT</v>
      </c>
      <c r="B10" s="7"/>
      <c r="C10" s="7"/>
      <c r="D10" s="7"/>
      <c r="E10" s="7"/>
      <c r="F10" s="8"/>
    </row>
    <row r="11">
      <c r="A11" s="9"/>
      <c r="B11" s="4"/>
      <c r="C11" s="4"/>
      <c r="D11" s="4"/>
      <c r="E11" s="4"/>
      <c r="F11" s="5"/>
    </row>
    <row r="12">
      <c r="A12" s="10" t="s">
        <v>1</v>
      </c>
      <c r="B12" s="11"/>
      <c r="C12" s="11"/>
      <c r="D12" s="11"/>
      <c r="E12" s="11"/>
      <c r="F12" s="12"/>
    </row>
    <row r="13">
      <c r="A13" s="13" t="s">
        <v>2</v>
      </c>
      <c r="B13" s="11"/>
      <c r="C13" s="11"/>
      <c r="D13" s="11"/>
      <c r="E13" s="11"/>
      <c r="F13" s="12"/>
    </row>
    <row r="14">
      <c r="A14" s="14"/>
    </row>
    <row r="15">
      <c r="A15" s="15" t="s">
        <v>3</v>
      </c>
      <c r="B15" s="16"/>
      <c r="C15" s="16"/>
      <c r="D15" s="16"/>
      <c r="E15" s="16"/>
      <c r="F15" s="17"/>
    </row>
    <row r="16">
      <c r="A16" s="18" t="s">
        <v>4</v>
      </c>
      <c r="F16" s="19"/>
    </row>
    <row r="17">
      <c r="A17" s="20" t="s">
        <v>5</v>
      </c>
      <c r="B17" s="21"/>
      <c r="C17" s="21"/>
      <c r="D17" s="21"/>
      <c r="E17" s="21"/>
      <c r="F17" s="22"/>
    </row>
    <row r="18">
      <c r="A18" s="23" t="s">
        <v>6</v>
      </c>
      <c r="B18" s="24"/>
      <c r="C18" s="24"/>
      <c r="D18" s="24"/>
      <c r="E18" s="24"/>
      <c r="F18" s="25"/>
    </row>
    <row r="19">
      <c r="A19" s="14"/>
    </row>
    <row r="21">
      <c r="A21" s="26" t="s">
        <v>7</v>
      </c>
      <c r="B21" s="27"/>
      <c r="C21" s="27"/>
      <c r="D21" s="27"/>
      <c r="E21" s="27"/>
      <c r="F21" s="28"/>
    </row>
    <row r="22">
      <c r="A22" s="29"/>
      <c r="F22" s="30"/>
    </row>
    <row r="23">
      <c r="A23" s="31" t="s">
        <v>8</v>
      </c>
      <c r="B23" s="16"/>
      <c r="C23" s="32">
        <v>100.0</v>
      </c>
      <c r="D23" s="27"/>
      <c r="E23" s="27"/>
      <c r="F23" s="28"/>
    </row>
    <row r="24">
      <c r="A24" s="33" t="s">
        <v>9</v>
      </c>
      <c r="B24" s="27"/>
      <c r="C24" s="27"/>
      <c r="D24" s="27"/>
      <c r="E24" s="27"/>
      <c r="F24" s="28"/>
    </row>
    <row r="25">
      <c r="A25" s="34" t="s">
        <v>10</v>
      </c>
      <c r="B25" s="27"/>
      <c r="C25" s="28"/>
      <c r="D25" s="35" t="s">
        <v>11</v>
      </c>
      <c r="E25" s="27"/>
      <c r="F25" s="28"/>
    </row>
    <row r="26">
      <c r="A26" s="36" t="s">
        <v>12</v>
      </c>
      <c r="B26" s="2"/>
      <c r="C26" s="37"/>
      <c r="D26" s="38" t="s">
        <v>13</v>
      </c>
      <c r="E26" s="2"/>
      <c r="F26" s="37"/>
    </row>
    <row r="27">
      <c r="A27" s="39" t="s">
        <v>14</v>
      </c>
      <c r="B27" s="2"/>
      <c r="C27" s="37"/>
      <c r="D27" s="40"/>
      <c r="E27" s="2"/>
      <c r="F27" s="37"/>
    </row>
    <row r="29">
      <c r="A29" s="41" t="s">
        <v>15</v>
      </c>
      <c r="B29" s="27"/>
      <c r="C29" s="27"/>
      <c r="D29" s="27"/>
      <c r="E29" s="27"/>
      <c r="F29" s="28"/>
    </row>
    <row r="32">
      <c r="A32" s="42" t="s">
        <v>16</v>
      </c>
      <c r="B32" s="27"/>
      <c r="C32" s="27"/>
      <c r="D32" s="27"/>
      <c r="E32" s="27"/>
      <c r="F32" s="28"/>
    </row>
    <row r="33">
      <c r="A33" s="43" t="str">
        <f>HYPERLINK("https://youtu.be/ujVN-A0Z-ic","1. DUMBBELL INCLINE PRESS")</f>
        <v>1. DUMBBELL INCLINE PRESS</v>
      </c>
      <c r="B33" s="44"/>
      <c r="C33" s="44"/>
      <c r="D33" s="44"/>
      <c r="E33" s="44"/>
      <c r="F33" s="45"/>
    </row>
    <row r="34">
      <c r="A34" s="46" t="s">
        <v>17</v>
      </c>
      <c r="B34" s="47">
        <f>IF((AND(A27="",C23&gt;=170)),25,IF((AND(A27="",C23&lt;170)),20,IF((AND(D27="",C23&gt;170)),15,12.5)))</f>
        <v>12.5</v>
      </c>
      <c r="C34" s="4"/>
      <c r="D34" s="4"/>
      <c r="E34" s="4"/>
      <c r="F34" s="48"/>
    </row>
    <row r="35">
      <c r="A35" s="49" t="s">
        <v>18</v>
      </c>
      <c r="B35" s="50" t="s">
        <v>19</v>
      </c>
      <c r="C35" s="50" t="s">
        <v>20</v>
      </c>
      <c r="D35" s="50" t="s">
        <v>21</v>
      </c>
      <c r="E35" s="51" t="s">
        <v>22</v>
      </c>
      <c r="F35" s="52" t="s">
        <v>23</v>
      </c>
    </row>
    <row r="36">
      <c r="A36" s="53">
        <v>1.0</v>
      </c>
      <c r="B36" s="54">
        <f>B34</f>
        <v>12.5</v>
      </c>
      <c r="C36" s="55" t="s">
        <v>24</v>
      </c>
      <c r="D36" s="56" t="s">
        <v>25</v>
      </c>
      <c r="E36" s="57"/>
      <c r="F36" s="58">
        <v>10.0</v>
      </c>
    </row>
    <row r="37">
      <c r="A37" s="53">
        <v>2.0</v>
      </c>
      <c r="B37" s="54">
        <f>IF(F36&lt;10,MROUND(B36*0.85,2.5),B36)</f>
        <v>12.5</v>
      </c>
      <c r="C37" s="55" t="s">
        <v>24</v>
      </c>
      <c r="D37" s="56" t="s">
        <v>25</v>
      </c>
      <c r="E37" s="57"/>
      <c r="F37" s="58">
        <v>10.0</v>
      </c>
    </row>
    <row r="38">
      <c r="A38" s="59">
        <v>3.0</v>
      </c>
      <c r="B38" s="60">
        <f>IF(F37&lt;10,MROUND(B37*0.8,2.5),B37)</f>
        <v>12.5</v>
      </c>
      <c r="C38" s="61" t="s">
        <v>24</v>
      </c>
      <c r="D38" s="62" t="s">
        <v>25</v>
      </c>
      <c r="E38" s="63"/>
      <c r="F38" s="58">
        <v>10.0</v>
      </c>
    </row>
    <row r="41">
      <c r="A41" s="64" t="str">
        <f>HYPERLINK("https://www.youtube.com/watch?v=PnaDzYh2axA","2. LAT PULL DOWN")</f>
        <v>2. LAT PULL DOWN</v>
      </c>
      <c r="B41" s="44"/>
      <c r="C41" s="44"/>
      <c r="D41" s="44"/>
      <c r="E41" s="44"/>
      <c r="F41" s="45"/>
    </row>
    <row r="42">
      <c r="A42" s="46" t="s">
        <v>17</v>
      </c>
      <c r="B42" s="47">
        <f>IF((AND(A27="",C23&gt;=170)),35,IF((AND(A27="",C23&lt;170)),20,IF((AND(D27="",C23&gt;170)),30,25)))</f>
        <v>25</v>
      </c>
      <c r="C42" s="4"/>
      <c r="D42" s="4"/>
      <c r="E42" s="4"/>
      <c r="F42" s="48"/>
    </row>
    <row r="43">
      <c r="A43" s="49" t="s">
        <v>18</v>
      </c>
      <c r="B43" s="50" t="s">
        <v>19</v>
      </c>
      <c r="C43" s="50" t="s">
        <v>20</v>
      </c>
      <c r="D43" s="50" t="s">
        <v>21</v>
      </c>
      <c r="E43" s="51" t="s">
        <v>22</v>
      </c>
      <c r="F43" s="52" t="s">
        <v>23</v>
      </c>
    </row>
    <row r="44">
      <c r="A44" s="53">
        <v>1.0</v>
      </c>
      <c r="B44" s="54">
        <f>B42</f>
        <v>25</v>
      </c>
      <c r="C44" s="55" t="s">
        <v>24</v>
      </c>
      <c r="D44" s="56" t="s">
        <v>25</v>
      </c>
      <c r="E44" s="57"/>
      <c r="F44" s="58">
        <v>12.0</v>
      </c>
    </row>
    <row r="45">
      <c r="A45" s="53">
        <v>2.0</v>
      </c>
      <c r="B45" s="54">
        <f t="shared" ref="B45:B46" si="1">IF(F44&lt;10,MROUND(B44*0.8,5),B44)</f>
        <v>25</v>
      </c>
      <c r="C45" s="55" t="s">
        <v>24</v>
      </c>
      <c r="D45" s="56" t="s">
        <v>25</v>
      </c>
      <c r="E45" s="57"/>
      <c r="F45" s="58">
        <v>12.0</v>
      </c>
    </row>
    <row r="46">
      <c r="A46" s="59">
        <v>3.0</v>
      </c>
      <c r="B46" s="60">
        <f t="shared" si="1"/>
        <v>25</v>
      </c>
      <c r="C46" s="61" t="s">
        <v>24</v>
      </c>
      <c r="D46" s="62" t="s">
        <v>25</v>
      </c>
      <c r="E46" s="63"/>
      <c r="F46" s="58">
        <v>12.0</v>
      </c>
    </row>
    <row r="49">
      <c r="A49" s="65" t="str">
        <f>HYPERLINK("https://www.youtube.com/watch?v=Yke__29qVfo","3. TRICEPS PUSHDOWN (STRAIGHT BAR)")</f>
        <v>3. TRICEPS PUSHDOWN (STRAIGHT BAR)</v>
      </c>
      <c r="B49" s="44"/>
      <c r="C49" s="44"/>
      <c r="D49" s="44"/>
      <c r="E49" s="44"/>
      <c r="F49" s="45"/>
    </row>
    <row r="50">
      <c r="A50" s="46" t="s">
        <v>17</v>
      </c>
      <c r="B50" s="47">
        <f>IF((AND(A27="",C23&gt;=170)),15,IF((AND(A27="",C23&lt;170)),10,IF((AND(D27="",C23&gt;170)),12.5,10)))</f>
        <v>10</v>
      </c>
      <c r="C50" s="4"/>
      <c r="D50" s="4"/>
      <c r="E50" s="4"/>
      <c r="F50" s="48"/>
    </row>
    <row r="51">
      <c r="A51" s="49" t="s">
        <v>18</v>
      </c>
      <c r="B51" s="50" t="s">
        <v>19</v>
      </c>
      <c r="C51" s="50" t="s">
        <v>20</v>
      </c>
      <c r="D51" s="50" t="s">
        <v>21</v>
      </c>
      <c r="E51" s="51" t="s">
        <v>22</v>
      </c>
      <c r="F51" s="52" t="s">
        <v>23</v>
      </c>
    </row>
    <row r="52">
      <c r="A52" s="53">
        <v>1.0</v>
      </c>
      <c r="B52" s="54">
        <f>B50</f>
        <v>10</v>
      </c>
      <c r="C52" s="55" t="s">
        <v>24</v>
      </c>
      <c r="D52" s="56" t="s">
        <v>25</v>
      </c>
      <c r="E52" s="57"/>
      <c r="F52" s="58">
        <v>5.0</v>
      </c>
    </row>
    <row r="53">
      <c r="A53" s="53">
        <v>2.0</v>
      </c>
      <c r="B53" s="54">
        <f t="shared" ref="B53:B54" si="2">IF(F52&lt;10,MROUND(B52*0.8,2.5),B52)</f>
        <v>7.5</v>
      </c>
      <c r="C53" s="55" t="s">
        <v>24</v>
      </c>
      <c r="D53" s="56" t="s">
        <v>25</v>
      </c>
      <c r="E53" s="57"/>
      <c r="F53" s="58">
        <v>12.0</v>
      </c>
    </row>
    <row r="54">
      <c r="A54" s="59">
        <v>3.0</v>
      </c>
      <c r="B54" s="60">
        <f t="shared" si="2"/>
        <v>7.5</v>
      </c>
      <c r="C54" s="61" t="s">
        <v>24</v>
      </c>
      <c r="D54" s="62" t="s">
        <v>25</v>
      </c>
      <c r="E54" s="63"/>
      <c r="F54" s="58"/>
    </row>
    <row r="57">
      <c r="A57" s="66" t="str">
        <f>HYPERLINK("https://www.youtube.com/watch?v=9IqvmIhFxtY","4. BICEP CABLE CURL")</f>
        <v>4. BICEP CABLE CURL</v>
      </c>
      <c r="B57" s="44"/>
      <c r="C57" s="44"/>
      <c r="D57" s="44"/>
      <c r="E57" s="44"/>
      <c r="F57" s="45"/>
    </row>
    <row r="58">
      <c r="A58" s="46" t="s">
        <v>17</v>
      </c>
      <c r="B58" s="67">
        <f>IF((AND(A27="",C23&gt;=170)),20,IF((AND(A27="",C23&lt;170)),15,IF((AND(D27="",C23&gt;170)),12.5,10)))</f>
        <v>10</v>
      </c>
      <c r="C58" s="4"/>
      <c r="D58" s="4"/>
      <c r="E58" s="4"/>
      <c r="F58" s="48"/>
    </row>
    <row r="59">
      <c r="A59" s="68" t="s">
        <v>18</v>
      </c>
      <c r="B59" s="69" t="s">
        <v>19</v>
      </c>
      <c r="C59" s="70" t="s">
        <v>20</v>
      </c>
      <c r="D59" s="69" t="s">
        <v>21</v>
      </c>
      <c r="E59" s="71" t="s">
        <v>22</v>
      </c>
      <c r="F59" s="52" t="s">
        <v>23</v>
      </c>
    </row>
    <row r="60">
      <c r="A60" s="72">
        <v>1.0</v>
      </c>
      <c r="B60" s="73">
        <f>B58</f>
        <v>10</v>
      </c>
      <c r="C60" s="55" t="s">
        <v>24</v>
      </c>
      <c r="D60" s="74" t="s">
        <v>26</v>
      </c>
      <c r="E60" s="75" t="str">
        <f t="shared" ref="E60:E62" si="3">IF('WEEK 1 '!B54=B60,'WEEK 1 '!F54,"")</f>
        <v>#REF!</v>
      </c>
      <c r="F60" s="76">
        <v>10.0</v>
      </c>
    </row>
    <row r="61">
      <c r="A61" s="72">
        <v>2.0</v>
      </c>
      <c r="B61" s="73">
        <f t="shared" ref="B61:B62" si="4">IF(F60&lt;10,MROUND(B60*0.85,5),B60)</f>
        <v>10</v>
      </c>
      <c r="C61" s="55" t="s">
        <v>24</v>
      </c>
      <c r="D61" s="74" t="s">
        <v>26</v>
      </c>
      <c r="E61" s="75" t="str">
        <f t="shared" si="3"/>
        <v>#REF!</v>
      </c>
      <c r="F61" s="76">
        <v>10.0</v>
      </c>
    </row>
    <row r="62">
      <c r="A62" s="77">
        <v>3.0</v>
      </c>
      <c r="B62" s="78">
        <f t="shared" si="4"/>
        <v>10</v>
      </c>
      <c r="C62" s="61" t="s">
        <v>24</v>
      </c>
      <c r="D62" s="79" t="s">
        <v>26</v>
      </c>
      <c r="E62" s="80" t="str">
        <f t="shared" si="3"/>
        <v>#REF!</v>
      </c>
      <c r="F62" s="76">
        <v>10.0</v>
      </c>
    </row>
    <row r="65">
      <c r="A65" s="41" t="s">
        <v>27</v>
      </c>
      <c r="B65" s="27"/>
      <c r="C65" s="27"/>
      <c r="D65" s="27"/>
      <c r="E65" s="27"/>
      <c r="F65" s="28"/>
    </row>
    <row r="68">
      <c r="A68" s="42" t="s">
        <v>28</v>
      </c>
      <c r="B68" s="27"/>
      <c r="C68" s="27"/>
      <c r="D68" s="27"/>
      <c r="E68" s="27"/>
      <c r="F68" s="28"/>
    </row>
    <row r="69">
      <c r="A69" s="43" t="str">
        <f>HYPERLINK("https://youtu.be/ujVN-A0Z-ic","1. DUMBBELL INCLINE PRESS")</f>
        <v>1. DUMBBELL INCLINE PRESS</v>
      </c>
      <c r="B69" s="44"/>
      <c r="C69" s="44"/>
      <c r="D69" s="44"/>
      <c r="E69" s="44"/>
      <c r="F69" s="45"/>
    </row>
    <row r="70">
      <c r="A70" s="46" t="s">
        <v>17</v>
      </c>
      <c r="B70" s="81">
        <f>IF(B36=B38,B36+2.5,IF(B36&lt;=9,MROUND(B36*0.95,5),B37))</f>
        <v>15</v>
      </c>
      <c r="C70" s="4"/>
      <c r="D70" s="4"/>
      <c r="E70" s="4"/>
      <c r="F70" s="48"/>
    </row>
    <row r="71">
      <c r="A71" s="49" t="s">
        <v>18</v>
      </c>
      <c r="B71" s="50" t="s">
        <v>19</v>
      </c>
      <c r="C71" s="50" t="s">
        <v>20</v>
      </c>
      <c r="D71" s="50" t="s">
        <v>21</v>
      </c>
      <c r="E71" s="51" t="s">
        <v>22</v>
      </c>
      <c r="F71" s="52" t="s">
        <v>23</v>
      </c>
    </row>
    <row r="72">
      <c r="A72" s="53">
        <v>1.0</v>
      </c>
      <c r="B72" s="54">
        <f>B70</f>
        <v>15</v>
      </c>
      <c r="C72" s="55" t="s">
        <v>24</v>
      </c>
      <c r="D72" s="56" t="s">
        <v>25</v>
      </c>
      <c r="E72" s="57"/>
      <c r="F72" s="58">
        <v>10.0</v>
      </c>
    </row>
    <row r="73">
      <c r="A73" s="53">
        <v>2.0</v>
      </c>
      <c r="B73" s="54">
        <f t="shared" ref="B73:B74" si="5">IF(F72&lt;10,MROUND(B72*0.8,2.5),B72)</f>
        <v>15</v>
      </c>
      <c r="C73" s="55" t="s">
        <v>24</v>
      </c>
      <c r="D73" s="56" t="s">
        <v>25</v>
      </c>
      <c r="E73" s="57"/>
      <c r="F73" s="58">
        <v>10.0</v>
      </c>
    </row>
    <row r="74">
      <c r="A74" s="59">
        <v>3.0</v>
      </c>
      <c r="B74" s="60">
        <f t="shared" si="5"/>
        <v>15</v>
      </c>
      <c r="C74" s="61" t="s">
        <v>24</v>
      </c>
      <c r="D74" s="62" t="s">
        <v>25</v>
      </c>
      <c r="E74" s="63"/>
      <c r="F74" s="58">
        <v>10.0</v>
      </c>
    </row>
    <row r="77">
      <c r="A77" s="64" t="str">
        <f>HYPERLINK("https://www.youtube.com/watch?v=PnaDzYh2axA","2. LAT PULL DOWN")</f>
        <v>2. LAT PULL DOWN</v>
      </c>
      <c r="B77" s="44"/>
      <c r="C77" s="44"/>
      <c r="D77" s="44"/>
      <c r="E77" s="44"/>
      <c r="F77" s="45"/>
    </row>
    <row r="78">
      <c r="A78" s="46" t="s">
        <v>17</v>
      </c>
      <c r="B78" s="81">
        <f>IF(B44=B46,B44+5,IF(B44&lt;=9,MROUND(B44*0.95,5),B45))</f>
        <v>30</v>
      </c>
      <c r="C78" s="4"/>
      <c r="D78" s="4"/>
      <c r="E78" s="4"/>
      <c r="F78" s="48"/>
    </row>
    <row r="79">
      <c r="A79" s="49" t="s">
        <v>18</v>
      </c>
      <c r="B79" s="50" t="s">
        <v>19</v>
      </c>
      <c r="C79" s="50" t="s">
        <v>20</v>
      </c>
      <c r="D79" s="50" t="s">
        <v>21</v>
      </c>
      <c r="E79" s="51" t="s">
        <v>22</v>
      </c>
      <c r="F79" s="52" t="s">
        <v>23</v>
      </c>
    </row>
    <row r="80">
      <c r="A80" s="53">
        <v>1.0</v>
      </c>
      <c r="B80" s="54">
        <f>B78</f>
        <v>30</v>
      </c>
      <c r="C80" s="55" t="s">
        <v>24</v>
      </c>
      <c r="D80" s="56" t="s">
        <v>25</v>
      </c>
      <c r="E80" s="57"/>
      <c r="F80" s="58">
        <v>10.0</v>
      </c>
    </row>
    <row r="81">
      <c r="A81" s="53">
        <v>2.0</v>
      </c>
      <c r="B81" s="54">
        <f t="shared" ref="B81:B82" si="6">IF(F80&lt;10,MROUND(B80*0.8,5),B80)</f>
        <v>30</v>
      </c>
      <c r="C81" s="55" t="s">
        <v>24</v>
      </c>
      <c r="D81" s="56" t="s">
        <v>25</v>
      </c>
      <c r="E81" s="57"/>
      <c r="F81" s="58">
        <v>10.0</v>
      </c>
    </row>
    <row r="82">
      <c r="A82" s="59">
        <v>3.0</v>
      </c>
      <c r="B82" s="60">
        <f t="shared" si="6"/>
        <v>30</v>
      </c>
      <c r="C82" s="61" t="s">
        <v>24</v>
      </c>
      <c r="D82" s="62" t="s">
        <v>25</v>
      </c>
      <c r="E82" s="63"/>
      <c r="F82" s="58">
        <v>10.0</v>
      </c>
    </row>
    <row r="85">
      <c r="A85" s="65" t="str">
        <f>HYPERLINK("https://www.youtube.com/watch?v=Yke__29qVfo","3. TRICEPS PUSHDOWN (STRAIGHT BAR)")</f>
        <v>3. TRICEPS PUSHDOWN (STRAIGHT BAR)</v>
      </c>
      <c r="B85" s="44"/>
      <c r="C85" s="44"/>
      <c r="D85" s="44"/>
      <c r="E85" s="44"/>
      <c r="F85" s="45"/>
    </row>
    <row r="86">
      <c r="A86" s="46" t="s">
        <v>17</v>
      </c>
      <c r="B86" s="81">
        <f>IF(B52=B54,B52+5,IF(B52&lt;=9,MROUND(B52*0.95,5),B53))</f>
        <v>7.5</v>
      </c>
      <c r="C86" s="4"/>
      <c r="D86" s="4"/>
      <c r="E86" s="4"/>
      <c r="F86" s="48"/>
    </row>
    <row r="87">
      <c r="A87" s="49" t="s">
        <v>18</v>
      </c>
      <c r="B87" s="50" t="s">
        <v>19</v>
      </c>
      <c r="C87" s="50" t="s">
        <v>20</v>
      </c>
      <c r="D87" s="50" t="s">
        <v>21</v>
      </c>
      <c r="E87" s="51" t="s">
        <v>22</v>
      </c>
      <c r="F87" s="52" t="s">
        <v>23</v>
      </c>
    </row>
    <row r="88">
      <c r="A88" s="53">
        <v>1.0</v>
      </c>
      <c r="B88" s="54">
        <f>B86</f>
        <v>7.5</v>
      </c>
      <c r="C88" s="55" t="s">
        <v>24</v>
      </c>
      <c r="D88" s="56" t="s">
        <v>25</v>
      </c>
      <c r="E88" s="57"/>
      <c r="F88" s="58">
        <v>10.0</v>
      </c>
    </row>
    <row r="89">
      <c r="A89" s="53">
        <v>2.0</v>
      </c>
      <c r="B89" s="54">
        <f t="shared" ref="B89:B90" si="7">IF(F88&lt;10,MROUND(B88*0.8,2.5),B88)</f>
        <v>7.5</v>
      </c>
      <c r="C89" s="55" t="s">
        <v>24</v>
      </c>
      <c r="D89" s="56" t="s">
        <v>25</v>
      </c>
      <c r="E89" s="57"/>
      <c r="F89" s="58">
        <v>10.0</v>
      </c>
    </row>
    <row r="90">
      <c r="A90" s="59">
        <v>3.0</v>
      </c>
      <c r="B90" s="60">
        <f t="shared" si="7"/>
        <v>7.5</v>
      </c>
      <c r="C90" s="61" t="s">
        <v>24</v>
      </c>
      <c r="D90" s="62" t="s">
        <v>25</v>
      </c>
      <c r="E90" s="63"/>
      <c r="F90" s="58">
        <v>10.0</v>
      </c>
    </row>
    <row r="93">
      <c r="A93" s="66" t="str">
        <f>HYPERLINK("https://www.youtube.com/watch?v=9IqvmIhFxtY","4. BICEP CABLE CURL")</f>
        <v>4. BICEP CABLE CURL</v>
      </c>
      <c r="B93" s="44"/>
      <c r="C93" s="44"/>
      <c r="D93" s="44"/>
      <c r="E93" s="44"/>
      <c r="F93" s="45"/>
    </row>
    <row r="94">
      <c r="A94" s="46" t="s">
        <v>17</v>
      </c>
      <c r="B94" s="81">
        <f>IF(B60=B62,B60+5,IF(B60&lt;=9,MROUND(B60*0.95,5),B61))</f>
        <v>15</v>
      </c>
      <c r="C94" s="4"/>
      <c r="D94" s="4"/>
      <c r="E94" s="4"/>
      <c r="F94" s="48"/>
    </row>
    <row r="95">
      <c r="A95" s="68" t="s">
        <v>18</v>
      </c>
      <c r="B95" s="69" t="s">
        <v>19</v>
      </c>
      <c r="C95" s="70" t="s">
        <v>20</v>
      </c>
      <c r="D95" s="69" t="s">
        <v>21</v>
      </c>
      <c r="E95" s="71" t="s">
        <v>22</v>
      </c>
      <c r="F95" s="52" t="s">
        <v>23</v>
      </c>
    </row>
    <row r="96">
      <c r="A96" s="72">
        <v>1.0</v>
      </c>
      <c r="B96" s="73">
        <f>B94</f>
        <v>15</v>
      </c>
      <c r="C96" s="55" t="s">
        <v>24</v>
      </c>
      <c r="D96" s="74" t="s">
        <v>26</v>
      </c>
      <c r="E96" s="75" t="str">
        <f t="shared" ref="E96:E98" si="8">IF('WEEK 1 '!B90=B96,'WEEK 1 '!F90,"")</f>
        <v>#REF!</v>
      </c>
      <c r="F96" s="76">
        <v>10.0</v>
      </c>
    </row>
    <row r="97">
      <c r="A97" s="72">
        <v>2.0</v>
      </c>
      <c r="B97" s="73">
        <f t="shared" ref="B97:B98" si="9">IF(F96&lt;10,MROUND(B96*0.8,5),B96)</f>
        <v>15</v>
      </c>
      <c r="C97" s="55" t="s">
        <v>24</v>
      </c>
      <c r="D97" s="74" t="s">
        <v>26</v>
      </c>
      <c r="E97" s="75" t="str">
        <f t="shared" si="8"/>
        <v>#REF!</v>
      </c>
      <c r="F97" s="76">
        <v>10.0</v>
      </c>
    </row>
    <row r="98">
      <c r="A98" s="77">
        <v>3.0</v>
      </c>
      <c r="B98" s="78">
        <f t="shared" si="9"/>
        <v>15</v>
      </c>
      <c r="C98" s="61" t="s">
        <v>24</v>
      </c>
      <c r="D98" s="79" t="s">
        <v>26</v>
      </c>
      <c r="E98" s="80" t="str">
        <f t="shared" si="8"/>
        <v>#REF!</v>
      </c>
      <c r="F98" s="76">
        <v>10.0</v>
      </c>
    </row>
    <row r="101">
      <c r="A101" s="64" t="str">
        <f>HYPERLINK("https://www.youtube.com/watch?v=dVterVQksD4","5. LEG PRESS")</f>
        <v>5. LEG PRESS</v>
      </c>
      <c r="B101" s="44"/>
      <c r="C101" s="44"/>
      <c r="D101" s="44"/>
      <c r="E101" s="44"/>
      <c r="F101" s="45"/>
    </row>
    <row r="102">
      <c r="A102" s="46" t="s">
        <v>17</v>
      </c>
      <c r="B102" s="47">
        <f>IF((AND(A27="",C23&gt;=170)),70,IF((AND(A27="",C23&lt;170)),60,IF((AND(D27="",C23&gt;170)),55,50)))</f>
        <v>50</v>
      </c>
      <c r="C102" s="4"/>
      <c r="D102" s="4"/>
      <c r="E102" s="4"/>
      <c r="F102" s="48"/>
    </row>
    <row r="103">
      <c r="A103" s="68" t="s">
        <v>18</v>
      </c>
      <c r="B103" s="69" t="s">
        <v>19</v>
      </c>
      <c r="C103" s="70" t="s">
        <v>20</v>
      </c>
      <c r="D103" s="69" t="s">
        <v>21</v>
      </c>
      <c r="E103" s="71" t="s">
        <v>22</v>
      </c>
      <c r="F103" s="52" t="s">
        <v>23</v>
      </c>
    </row>
    <row r="104">
      <c r="A104" s="72">
        <v>1.0</v>
      </c>
      <c r="B104" s="73">
        <f>B102</f>
        <v>50</v>
      </c>
      <c r="C104" s="55" t="s">
        <v>29</v>
      </c>
      <c r="D104" s="74" t="s">
        <v>26</v>
      </c>
      <c r="E104" s="75" t="str">
        <f t="shared" ref="E104:E106" si="10">IF('WEEK 1 '!B98=B104,'WEEK 1 '!F98,"")</f>
        <v>#REF!</v>
      </c>
      <c r="F104" s="76">
        <v>10.0</v>
      </c>
    </row>
    <row r="105">
      <c r="A105" s="72">
        <v>2.0</v>
      </c>
      <c r="B105" s="73">
        <f t="shared" ref="B105:B106" si="11">IF(F104&lt;10,MROUND(B104*0.8,5),B104)</f>
        <v>50</v>
      </c>
      <c r="C105" s="55" t="s">
        <v>29</v>
      </c>
      <c r="D105" s="74" t="s">
        <v>26</v>
      </c>
      <c r="E105" s="75" t="str">
        <f t="shared" si="10"/>
        <v>#REF!</v>
      </c>
      <c r="F105" s="76">
        <v>10.0</v>
      </c>
    </row>
    <row r="106">
      <c r="A106" s="77">
        <v>3.0</v>
      </c>
      <c r="B106" s="78">
        <f t="shared" si="11"/>
        <v>50</v>
      </c>
      <c r="C106" s="61" t="s">
        <v>29</v>
      </c>
      <c r="D106" s="79" t="s">
        <v>26</v>
      </c>
      <c r="E106" s="80" t="str">
        <f t="shared" si="10"/>
        <v>#REF!</v>
      </c>
      <c r="F106" s="76">
        <v>10.0</v>
      </c>
    </row>
    <row r="109">
      <c r="A109" s="41" t="s">
        <v>30</v>
      </c>
      <c r="B109" s="27"/>
      <c r="C109" s="27"/>
      <c r="D109" s="27"/>
      <c r="E109" s="27"/>
      <c r="F109" s="28"/>
    </row>
    <row r="112">
      <c r="A112" s="42" t="s">
        <v>31</v>
      </c>
      <c r="B112" s="27"/>
      <c r="C112" s="27"/>
      <c r="D112" s="27"/>
      <c r="E112" s="27"/>
      <c r="F112" s="28"/>
    </row>
    <row r="113">
      <c r="A113" s="64" t="str">
        <f>HYPERLINK("https://www.youtube.com/watch?v=dVterVQksD4","1. LEG PRESS")</f>
        <v>1. LEG PRESS</v>
      </c>
      <c r="B113" s="44"/>
      <c r="C113" s="44"/>
      <c r="D113" s="44"/>
      <c r="E113" s="44"/>
      <c r="F113" s="45"/>
    </row>
    <row r="114">
      <c r="A114" s="46" t="s">
        <v>17</v>
      </c>
      <c r="B114" s="81">
        <f>IF(B104=B106,B104+15,IF(B104&lt;=9,MROUND(B104*0.95,5),B105))</f>
        <v>65</v>
      </c>
      <c r="C114" s="4"/>
      <c r="D114" s="4"/>
      <c r="E114" s="4"/>
      <c r="F114" s="48"/>
    </row>
    <row r="115">
      <c r="A115" s="68" t="s">
        <v>18</v>
      </c>
      <c r="B115" s="69" t="s">
        <v>19</v>
      </c>
      <c r="C115" s="70" t="s">
        <v>20</v>
      </c>
      <c r="D115" s="69" t="s">
        <v>21</v>
      </c>
      <c r="E115" s="71" t="s">
        <v>22</v>
      </c>
      <c r="F115" s="52" t="s">
        <v>23</v>
      </c>
    </row>
    <row r="116">
      <c r="A116" s="72">
        <v>1.0</v>
      </c>
      <c r="B116" s="73">
        <f>B114</f>
        <v>65</v>
      </c>
      <c r="C116" s="55" t="s">
        <v>32</v>
      </c>
      <c r="D116" s="74" t="s">
        <v>26</v>
      </c>
      <c r="E116" s="75" t="str">
        <f t="shared" ref="E116:E120" si="12">IF('WEEK 1 '!B110=B116,'WEEK 1 '!F110,"")</f>
        <v>#REF!</v>
      </c>
      <c r="F116" s="76">
        <v>10.0</v>
      </c>
    </row>
    <row r="117">
      <c r="A117" s="72">
        <v>2.0</v>
      </c>
      <c r="B117" s="73">
        <f t="shared" ref="B117:B120" si="13">IF(F116&lt;15,MROUND(B116*0.95,5),B116)</f>
        <v>60</v>
      </c>
      <c r="C117" s="55" t="s">
        <v>32</v>
      </c>
      <c r="D117" s="74" t="s">
        <v>26</v>
      </c>
      <c r="E117" s="75" t="str">
        <f t="shared" si="12"/>
        <v>#REF!</v>
      </c>
      <c r="F117" s="76">
        <v>10.0</v>
      </c>
    </row>
    <row r="118">
      <c r="A118" s="72">
        <v>3.0</v>
      </c>
      <c r="B118" s="73">
        <f t="shared" si="13"/>
        <v>55</v>
      </c>
      <c r="C118" s="55" t="s">
        <v>32</v>
      </c>
      <c r="D118" s="74" t="s">
        <v>26</v>
      </c>
      <c r="E118" s="75" t="str">
        <f t="shared" si="12"/>
        <v>#REF!</v>
      </c>
      <c r="F118" s="76">
        <v>10.0</v>
      </c>
    </row>
    <row r="119">
      <c r="A119" s="82">
        <v>4.0</v>
      </c>
      <c r="B119" s="73">
        <f t="shared" si="13"/>
        <v>50</v>
      </c>
      <c r="C119" s="55" t="s">
        <v>32</v>
      </c>
      <c r="D119" s="74" t="s">
        <v>26</v>
      </c>
      <c r="E119" s="75" t="str">
        <f t="shared" si="12"/>
        <v>#REF!</v>
      </c>
      <c r="F119" s="76">
        <v>10.0</v>
      </c>
    </row>
    <row r="120">
      <c r="A120" s="83">
        <v>5.0</v>
      </c>
      <c r="B120" s="78">
        <f t="shared" si="13"/>
        <v>50</v>
      </c>
      <c r="C120" s="61" t="s">
        <v>32</v>
      </c>
      <c r="D120" s="79" t="s">
        <v>26</v>
      </c>
      <c r="E120" s="80" t="str">
        <f t="shared" si="12"/>
        <v>#REF!</v>
      </c>
      <c r="F120" s="76">
        <v>10.0</v>
      </c>
    </row>
    <row r="123">
      <c r="A123" s="84" t="str">
        <f>HYPERLINK("https://youtu.be/NZ9KiFtbiMs","2. LEG EXTENSION")</f>
        <v>2. LEG EXTENSION</v>
      </c>
      <c r="B123" s="44"/>
      <c r="C123" s="44"/>
      <c r="D123" s="44"/>
      <c r="E123" s="44"/>
      <c r="F123" s="45"/>
    </row>
    <row r="124">
      <c r="A124" s="46" t="s">
        <v>17</v>
      </c>
      <c r="B124" s="85">
        <f>IF((AND(A27="",C23&gt;=170)),40,IF((AND(A27="",C23&lt;170)),35,IF((AND(D27="",C23&gt;170)),35,30)))</f>
        <v>30</v>
      </c>
      <c r="C124" s="11"/>
      <c r="D124" s="11"/>
      <c r="E124" s="11"/>
      <c r="F124" s="86"/>
    </row>
    <row r="125">
      <c r="A125" s="87" t="s">
        <v>18</v>
      </c>
      <c r="B125" s="88" t="s">
        <v>19</v>
      </c>
      <c r="C125" s="88" t="s">
        <v>20</v>
      </c>
      <c r="D125" s="88" t="s">
        <v>21</v>
      </c>
      <c r="E125" s="89" t="s">
        <v>22</v>
      </c>
      <c r="F125" s="52" t="s">
        <v>23</v>
      </c>
    </row>
    <row r="126">
      <c r="A126" s="53">
        <v>1.0</v>
      </c>
      <c r="B126" s="90">
        <f>B124</f>
        <v>30</v>
      </c>
      <c r="C126" s="55">
        <v>10.0</v>
      </c>
      <c r="D126" s="74" t="s">
        <v>25</v>
      </c>
      <c r="E126" s="91"/>
      <c r="F126" s="76">
        <v>10.0</v>
      </c>
    </row>
    <row r="127">
      <c r="A127" s="53">
        <v>2.0</v>
      </c>
      <c r="B127" s="90">
        <f t="shared" ref="B127:B128" si="14">IF(F126&lt;10,MROUND(B126*0.8,5),B126)</f>
        <v>30</v>
      </c>
      <c r="C127" s="55">
        <v>10.0</v>
      </c>
      <c r="D127" s="74" t="s">
        <v>25</v>
      </c>
      <c r="E127" s="91"/>
      <c r="F127" s="76">
        <v>10.0</v>
      </c>
    </row>
    <row r="128">
      <c r="A128" s="59">
        <v>3.0</v>
      </c>
      <c r="B128" s="92">
        <f t="shared" si="14"/>
        <v>30</v>
      </c>
      <c r="C128" s="61">
        <v>10.0</v>
      </c>
      <c r="D128" s="79" t="s">
        <v>25</v>
      </c>
      <c r="E128" s="93"/>
      <c r="F128" s="76">
        <v>10.0</v>
      </c>
    </row>
    <row r="129">
      <c r="A129" s="94"/>
    </row>
    <row r="131">
      <c r="A131" s="64" t="str">
        <f>HYPERLINK("https://youtu.be/XepOfsnGFJg","3. LEG CURL")</f>
        <v>3. LEG CURL</v>
      </c>
      <c r="B131" s="44"/>
      <c r="C131" s="44"/>
      <c r="D131" s="44"/>
      <c r="E131" s="44"/>
      <c r="F131" s="45"/>
    </row>
    <row r="132">
      <c r="A132" s="46" t="s">
        <v>17</v>
      </c>
      <c r="B132" s="85">
        <f>IF((AND(A27="",C23&gt;=170)),40,IF((AND(A27="",C23&lt;170)),35,IF((AND(D27="",C23&gt;170)),35,30)))</f>
        <v>30</v>
      </c>
      <c r="C132" s="11"/>
      <c r="D132" s="11"/>
      <c r="E132" s="11"/>
      <c r="F132" s="86"/>
    </row>
    <row r="133">
      <c r="A133" s="87" t="s">
        <v>18</v>
      </c>
      <c r="B133" s="88" t="s">
        <v>19</v>
      </c>
      <c r="C133" s="88" t="s">
        <v>20</v>
      </c>
      <c r="D133" s="88" t="s">
        <v>21</v>
      </c>
      <c r="E133" s="89" t="s">
        <v>22</v>
      </c>
      <c r="F133" s="52" t="s">
        <v>23</v>
      </c>
    </row>
    <row r="134">
      <c r="A134" s="53">
        <v>1.0</v>
      </c>
      <c r="B134" s="90">
        <f>B132</f>
        <v>30</v>
      </c>
      <c r="C134" s="95" t="s">
        <v>33</v>
      </c>
      <c r="D134" s="74" t="s">
        <v>25</v>
      </c>
      <c r="E134" s="91"/>
      <c r="F134" s="76">
        <v>10.0</v>
      </c>
    </row>
    <row r="135">
      <c r="A135" s="53">
        <v>2.0</v>
      </c>
      <c r="B135" s="90">
        <f t="shared" ref="B135:B136" si="15">IF(F134&lt;10,MROUND(B134*0.8,5),B134)</f>
        <v>30</v>
      </c>
      <c r="C135" s="95" t="s">
        <v>33</v>
      </c>
      <c r="D135" s="74" t="s">
        <v>25</v>
      </c>
      <c r="E135" s="91"/>
      <c r="F135" s="76">
        <v>10.0</v>
      </c>
    </row>
    <row r="136">
      <c r="A136" s="59">
        <v>3.0</v>
      </c>
      <c r="B136" s="92">
        <f t="shared" si="15"/>
        <v>30</v>
      </c>
      <c r="C136" s="96" t="s">
        <v>33</v>
      </c>
      <c r="D136" s="79" t="s">
        <v>25</v>
      </c>
      <c r="E136" s="93"/>
      <c r="F136" s="76">
        <v>10.0</v>
      </c>
    </row>
    <row r="139">
      <c r="A139" s="43" t="str">
        <f>HYPERLINK("https://youtu.be/ujVN-A0Z-ic","4. DUMBBELL INCLINE PRESS")</f>
        <v>4. DUMBBELL INCLINE PRESS</v>
      </c>
      <c r="B139" s="44"/>
      <c r="C139" s="44"/>
      <c r="D139" s="44"/>
      <c r="E139" s="44"/>
      <c r="F139" s="45"/>
    </row>
    <row r="140">
      <c r="A140" s="46" t="s">
        <v>17</v>
      </c>
      <c r="B140" s="81">
        <f>IF(B72=B74,B72+2.5,IF(B72&lt;=9,MROUND(B72*0.95,5),MROUND(B72*0.85,2.5)))</f>
        <v>17.5</v>
      </c>
      <c r="C140" s="4"/>
      <c r="D140" s="4"/>
      <c r="E140" s="4"/>
      <c r="F140" s="48"/>
    </row>
    <row r="141">
      <c r="A141" s="49" t="s">
        <v>18</v>
      </c>
      <c r="B141" s="50" t="s">
        <v>19</v>
      </c>
      <c r="C141" s="50" t="s">
        <v>20</v>
      </c>
      <c r="D141" s="50" t="s">
        <v>21</v>
      </c>
      <c r="E141" s="51" t="s">
        <v>22</v>
      </c>
      <c r="F141" s="52" t="s">
        <v>23</v>
      </c>
    </row>
    <row r="142">
      <c r="A142" s="53">
        <v>1.0</v>
      </c>
      <c r="B142" s="54">
        <f>B140</f>
        <v>17.5</v>
      </c>
      <c r="C142" s="55" t="s">
        <v>29</v>
      </c>
      <c r="D142" s="56" t="s">
        <v>25</v>
      </c>
      <c r="E142" s="57"/>
      <c r="F142" s="58">
        <v>10.0</v>
      </c>
    </row>
    <row r="143">
      <c r="A143" s="53">
        <v>2.0</v>
      </c>
      <c r="B143" s="54">
        <f t="shared" ref="B143:B144" si="16">IF(F142&lt;10,MROUND(B142*0.8,2.5),B142)</f>
        <v>17.5</v>
      </c>
      <c r="C143" s="55" t="s">
        <v>29</v>
      </c>
      <c r="D143" s="56" t="s">
        <v>25</v>
      </c>
      <c r="E143" s="57"/>
      <c r="F143" s="58">
        <v>10.0</v>
      </c>
    </row>
    <row r="144">
      <c r="A144" s="59">
        <v>3.0</v>
      </c>
      <c r="B144" s="60">
        <f t="shared" si="16"/>
        <v>17.5</v>
      </c>
      <c r="C144" s="61" t="s">
        <v>29</v>
      </c>
      <c r="D144" s="62" t="s">
        <v>25</v>
      </c>
      <c r="E144" s="63"/>
      <c r="F144" s="58">
        <v>10.0</v>
      </c>
    </row>
    <row r="147">
      <c r="A147" s="64" t="str">
        <f>HYPERLINK("https://www.youtube.com/watch?v=PnaDzYh2axA","5. LAT PULL DOWN")</f>
        <v>5. LAT PULL DOWN</v>
      </c>
      <c r="B147" s="44"/>
      <c r="C147" s="44"/>
      <c r="D147" s="44"/>
      <c r="E147" s="44"/>
      <c r="F147" s="45"/>
    </row>
    <row r="148">
      <c r="A148" s="46" t="s">
        <v>17</v>
      </c>
      <c r="B148" s="81">
        <f>IF(B80=B82,B80+15,IF(B80&lt;=9,MROUND(B80*0.95,5),MROUND(B80*0.85,5)))</f>
        <v>45</v>
      </c>
      <c r="C148" s="4"/>
      <c r="D148" s="4"/>
      <c r="E148" s="4"/>
      <c r="F148" s="48"/>
    </row>
    <row r="149">
      <c r="A149" s="49" t="s">
        <v>18</v>
      </c>
      <c r="B149" s="50" t="s">
        <v>19</v>
      </c>
      <c r="C149" s="50" t="s">
        <v>20</v>
      </c>
      <c r="D149" s="50" t="s">
        <v>21</v>
      </c>
      <c r="E149" s="51" t="s">
        <v>22</v>
      </c>
      <c r="F149" s="52" t="s">
        <v>23</v>
      </c>
    </row>
    <row r="150">
      <c r="A150" s="53">
        <v>1.0</v>
      </c>
      <c r="B150" s="54">
        <f>B148</f>
        <v>45</v>
      </c>
      <c r="C150" s="55" t="s">
        <v>24</v>
      </c>
      <c r="D150" s="56" t="s">
        <v>25</v>
      </c>
      <c r="E150" s="57"/>
      <c r="F150" s="58">
        <v>10.0</v>
      </c>
    </row>
    <row r="151">
      <c r="A151" s="53">
        <v>2.0</v>
      </c>
      <c r="B151" s="54">
        <f t="shared" ref="B151:B152" si="17">IF(F150&lt;10,MROUND(B150*0.8,5),B150)</f>
        <v>45</v>
      </c>
      <c r="C151" s="55" t="s">
        <v>24</v>
      </c>
      <c r="D151" s="56" t="s">
        <v>25</v>
      </c>
      <c r="E151" s="57"/>
      <c r="F151" s="58">
        <v>10.0</v>
      </c>
    </row>
    <row r="152">
      <c r="A152" s="59">
        <v>3.0</v>
      </c>
      <c r="B152" s="60">
        <f t="shared" si="17"/>
        <v>45</v>
      </c>
      <c r="C152" s="61" t="s">
        <v>24</v>
      </c>
      <c r="D152" s="62" t="s">
        <v>25</v>
      </c>
      <c r="E152" s="63"/>
      <c r="F152" s="58">
        <v>10.0</v>
      </c>
    </row>
    <row r="155">
      <c r="A155" s="97" t="s">
        <v>34</v>
      </c>
      <c r="B155" s="27"/>
      <c r="C155" s="27"/>
      <c r="D155" s="27"/>
      <c r="E155" s="27"/>
      <c r="F155" s="28"/>
    </row>
    <row r="156">
      <c r="A156" s="94"/>
    </row>
    <row r="157">
      <c r="A157" s="98" t="str">
        <f>HYPERLINK("https://www.amazon.com/30-Minute-Body-Investment-Champion/dp/0692791892/ref=sr_1_1?ie=UTF8&amp;qid=1490447969&amp;sr=8-1&amp;keywords=30+minute+body","WANT TO LEARN MORE?")</f>
        <v>WANT TO LEARN MORE?</v>
      </c>
      <c r="B157" s="27"/>
      <c r="C157" s="27"/>
      <c r="D157" s="27"/>
      <c r="E157" s="27"/>
      <c r="F157" s="28"/>
    </row>
    <row r="158">
      <c r="A158" s="99"/>
    </row>
    <row r="159">
      <c r="A159" s="100"/>
      <c r="B159" s="101"/>
      <c r="C159" s="102" t="s">
        <v>35</v>
      </c>
      <c r="D159" s="27"/>
      <c r="E159" s="27"/>
      <c r="F159" s="28"/>
    </row>
  </sheetData>
  <mergeCells count="78">
    <mergeCell ref="A93:F93"/>
    <mergeCell ref="B94:F94"/>
    <mergeCell ref="A99:F100"/>
    <mergeCell ref="A101:F101"/>
    <mergeCell ref="B102:F102"/>
    <mergeCell ref="A107:F108"/>
    <mergeCell ref="A109:F109"/>
    <mergeCell ref="A110:F111"/>
    <mergeCell ref="A112:F112"/>
    <mergeCell ref="A113:F113"/>
    <mergeCell ref="B114:F114"/>
    <mergeCell ref="A121:F122"/>
    <mergeCell ref="A123:F123"/>
    <mergeCell ref="B124:F124"/>
    <mergeCell ref="A147:F147"/>
    <mergeCell ref="B148:F148"/>
    <mergeCell ref="A153:F154"/>
    <mergeCell ref="A155:F155"/>
    <mergeCell ref="A156:F156"/>
    <mergeCell ref="A157:F157"/>
    <mergeCell ref="A158:F158"/>
    <mergeCell ref="C159:F159"/>
    <mergeCell ref="A129:F130"/>
    <mergeCell ref="A131:F131"/>
    <mergeCell ref="B132:F132"/>
    <mergeCell ref="A137:F138"/>
    <mergeCell ref="A139:F139"/>
    <mergeCell ref="B140:F140"/>
    <mergeCell ref="A145:F146"/>
    <mergeCell ref="A1:F8"/>
    <mergeCell ref="A9:F9"/>
    <mergeCell ref="A10:F11"/>
    <mergeCell ref="A12:F12"/>
    <mergeCell ref="A13:F13"/>
    <mergeCell ref="A14:F14"/>
    <mergeCell ref="A15:F15"/>
    <mergeCell ref="A16:F16"/>
    <mergeCell ref="A18:F18"/>
    <mergeCell ref="A19:F20"/>
    <mergeCell ref="A21:F21"/>
    <mergeCell ref="A22:F22"/>
    <mergeCell ref="A23:B23"/>
    <mergeCell ref="C23:F23"/>
    <mergeCell ref="A24:F24"/>
    <mergeCell ref="A25:C25"/>
    <mergeCell ref="D25:F25"/>
    <mergeCell ref="A26:C26"/>
    <mergeCell ref="D26:F26"/>
    <mergeCell ref="A27:C27"/>
    <mergeCell ref="D27:F27"/>
    <mergeCell ref="A28:F28"/>
    <mergeCell ref="A29:F29"/>
    <mergeCell ref="A30:F31"/>
    <mergeCell ref="A32:F32"/>
    <mergeCell ref="A33:F33"/>
    <mergeCell ref="B34:F34"/>
    <mergeCell ref="A39:F40"/>
    <mergeCell ref="A41:F41"/>
    <mergeCell ref="B42:F42"/>
    <mergeCell ref="A47:F48"/>
    <mergeCell ref="A49:F49"/>
    <mergeCell ref="B50:F50"/>
    <mergeCell ref="A55:F56"/>
    <mergeCell ref="A57:F57"/>
    <mergeCell ref="B58:F58"/>
    <mergeCell ref="A63:F64"/>
    <mergeCell ref="A65:F65"/>
    <mergeCell ref="A66:F67"/>
    <mergeCell ref="A68:F68"/>
    <mergeCell ref="A69:F69"/>
    <mergeCell ref="B70:F70"/>
    <mergeCell ref="A75:F76"/>
    <mergeCell ref="A77:F77"/>
    <mergeCell ref="B78:F78"/>
    <mergeCell ref="A83:F84"/>
    <mergeCell ref="A85:F85"/>
    <mergeCell ref="B86:F86"/>
    <mergeCell ref="A91:F92"/>
  </mergeCells>
  <dataValidations>
    <dataValidation type="decimal" operator="greaterThan" allowBlank="1" showDropDown="1" showErrorMessage="1" sqref="F17 F36:F38 F44:F46 F52:F54 F60:F62 F72:F74 F80:F82 F88:F90 F96:F98 F104:F106 F116:F120 F126:F128 F134:F136 F142:F144 F150:F152">
      <formula1>0.0</formula1>
    </dataValidation>
    <dataValidation type="decimal" operator="greaterThan" allowBlank="1" showDropDown="1" showInputMessage="1" prompt="weight In Lbs" sqref="C23">
      <formula1>0.0</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row>
    <row r="8">
      <c r="A8" s="2"/>
      <c r="B8" s="2"/>
      <c r="C8" s="2"/>
      <c r="D8" s="2"/>
      <c r="E8" s="2"/>
      <c r="F8" s="2"/>
    </row>
    <row r="9">
      <c r="A9" s="3" t="s">
        <v>36</v>
      </c>
      <c r="B9" s="4"/>
      <c r="C9" s="4"/>
      <c r="D9" s="4"/>
      <c r="E9" s="4"/>
      <c r="F9" s="5"/>
    </row>
    <row r="10">
      <c r="A10" s="6" t="str">
        <f>HYPERLINK("https://goo.gl/forms/3ibooB993Hi7SS2d2","PRESS TO RECORD BODY WEIGHT")</f>
        <v>PRESS TO RECORD BODY WEIGHT</v>
      </c>
      <c r="B10" s="7"/>
      <c r="C10" s="7"/>
      <c r="D10" s="7"/>
      <c r="E10" s="7"/>
      <c r="F10" s="8"/>
    </row>
    <row r="11">
      <c r="A11" s="9"/>
      <c r="B11" s="4"/>
      <c r="C11" s="4"/>
      <c r="D11" s="4"/>
      <c r="E11" s="4"/>
      <c r="F11" s="5"/>
    </row>
    <row r="12">
      <c r="A12" s="10" t="s">
        <v>37</v>
      </c>
      <c r="B12" s="11"/>
      <c r="C12" s="11"/>
      <c r="D12" s="11"/>
      <c r="E12" s="11"/>
      <c r="F12" s="12"/>
    </row>
    <row r="13">
      <c r="A13" s="13" t="s">
        <v>38</v>
      </c>
      <c r="B13" s="11"/>
      <c r="C13" s="11"/>
      <c r="D13" s="11"/>
      <c r="E13" s="11"/>
      <c r="F13" s="12"/>
    </row>
    <row r="14">
      <c r="A14" s="14"/>
    </row>
    <row r="15">
      <c r="A15" s="15" t="s">
        <v>3</v>
      </c>
      <c r="B15" s="16"/>
      <c r="C15" s="16"/>
      <c r="D15" s="16"/>
      <c r="E15" s="16"/>
      <c r="F15" s="17"/>
    </row>
    <row r="16">
      <c r="A16" s="18" t="s">
        <v>39</v>
      </c>
      <c r="F16" s="19"/>
    </row>
    <row r="17">
      <c r="A17" s="20" t="s">
        <v>40</v>
      </c>
      <c r="B17" s="21"/>
      <c r="C17" s="21"/>
      <c r="D17" s="21"/>
      <c r="E17" s="21"/>
      <c r="F17" s="22"/>
    </row>
    <row r="18">
      <c r="A18" s="23" t="s">
        <v>6</v>
      </c>
      <c r="B18" s="24"/>
      <c r="C18" s="24"/>
      <c r="D18" s="24"/>
      <c r="E18" s="24"/>
      <c r="F18" s="25"/>
    </row>
    <row r="19">
      <c r="A19" s="14"/>
    </row>
    <row r="21">
      <c r="A21" s="26" t="s">
        <v>7</v>
      </c>
      <c r="B21" s="27"/>
      <c r="C21" s="27"/>
      <c r="D21" s="27"/>
      <c r="E21" s="27"/>
      <c r="F21" s="28"/>
    </row>
    <row r="22">
      <c r="A22" s="29"/>
    </row>
    <row r="23">
      <c r="A23" s="41" t="s">
        <v>15</v>
      </c>
      <c r="B23" s="27"/>
      <c r="C23" s="27"/>
      <c r="D23" s="27"/>
      <c r="E23" s="27"/>
      <c r="F23" s="28"/>
    </row>
    <row r="26">
      <c r="A26" s="42" t="s">
        <v>16</v>
      </c>
      <c r="B26" s="27"/>
      <c r="C26" s="27"/>
      <c r="D26" s="27"/>
      <c r="E26" s="27"/>
      <c r="F26" s="28"/>
    </row>
    <row r="27">
      <c r="A27" s="43" t="str">
        <f>HYPERLINK("https://youtu.be/ujVN-A0Z-ic","1. DUMBBELL INCLINE PRESS")</f>
        <v>1. DUMBBELL INCLINE PRESS</v>
      </c>
      <c r="B27" s="44"/>
      <c r="C27" s="44"/>
      <c r="D27" s="44"/>
      <c r="E27" s="44"/>
      <c r="F27" s="45"/>
    </row>
    <row r="28">
      <c r="A28" s="46" t="s">
        <v>17</v>
      </c>
      <c r="B28" s="81" t="str">
        <f>IF('Pre Workout 1'!B142='Pre Workout 1'!B144,'Pre Workout 1'!B142+2.5,IF('Pre Workout 1'!F142&lt;=9,MROUND('Pre Workout 1'!B142*0.95,5),MROUND('Pre Workout 1'!B142*0.85,2.5)))</f>
        <v>#REF!</v>
      </c>
      <c r="C28" s="4"/>
      <c r="D28" s="4"/>
      <c r="E28" s="4"/>
      <c r="F28" s="48"/>
    </row>
    <row r="29">
      <c r="A29" s="49" t="s">
        <v>18</v>
      </c>
      <c r="B29" s="50" t="s">
        <v>19</v>
      </c>
      <c r="C29" s="50" t="s">
        <v>20</v>
      </c>
      <c r="D29" s="50" t="s">
        <v>21</v>
      </c>
      <c r="E29" s="51" t="s">
        <v>22</v>
      </c>
      <c r="F29" s="52" t="s">
        <v>23</v>
      </c>
    </row>
    <row r="30">
      <c r="A30" s="53">
        <v>1.0</v>
      </c>
      <c r="B30" s="54" t="str">
        <f>B28</f>
        <v>#REF!</v>
      </c>
      <c r="C30" s="55" t="s">
        <v>41</v>
      </c>
      <c r="D30" s="56" t="s">
        <v>25</v>
      </c>
      <c r="E30" s="57"/>
      <c r="F30" s="58"/>
    </row>
    <row r="31">
      <c r="A31" s="53">
        <v>2.0</v>
      </c>
      <c r="B31" s="54" t="str">
        <f>IF(F30&lt;10,MROUND(B30*0.85,2.5),B30)</f>
        <v>#REF!</v>
      </c>
      <c r="C31" s="55" t="s">
        <v>41</v>
      </c>
      <c r="D31" s="56" t="s">
        <v>25</v>
      </c>
      <c r="E31" s="57"/>
      <c r="F31" s="58"/>
    </row>
    <row r="32">
      <c r="A32" s="59">
        <v>3.0</v>
      </c>
      <c r="B32" s="60" t="str">
        <f>IF(F31&lt;10,MROUND(B31*0.8,2.5),B31)</f>
        <v>#REF!</v>
      </c>
      <c r="C32" s="61" t="s">
        <v>41</v>
      </c>
      <c r="D32" s="62" t="s">
        <v>25</v>
      </c>
      <c r="E32" s="63"/>
      <c r="F32" s="58"/>
    </row>
    <row r="35">
      <c r="A35" s="64" t="str">
        <f>HYPERLINK("https://www.youtube.com/watch?v=PnaDzYh2axA","2. LAT PULL DOWN")</f>
        <v>2. LAT PULL DOWN</v>
      </c>
      <c r="B35" s="44"/>
      <c r="C35" s="44"/>
      <c r="D35" s="44"/>
      <c r="E35" s="44"/>
      <c r="F35" s="45"/>
    </row>
    <row r="36">
      <c r="A36" s="46" t="s">
        <v>17</v>
      </c>
      <c r="B36" s="81" t="str">
        <f>IF('Pre Workout 1'!B150='Pre Workout 1'!B152,'Pre Workout 1'!B150+15,IF('Pre Workout 1'!F150&lt;=9,MROUND('Pre Workout 1'!B150*0.95,5),MROUND('Pre Workout 1'!B150*0.85,2.5)))</f>
        <v>#REF!</v>
      </c>
      <c r="C36" s="4"/>
      <c r="D36" s="4"/>
      <c r="E36" s="4"/>
      <c r="F36" s="48"/>
    </row>
    <row r="37">
      <c r="A37" s="49" t="s">
        <v>18</v>
      </c>
      <c r="B37" s="50" t="s">
        <v>19</v>
      </c>
      <c r="C37" s="50" t="s">
        <v>20</v>
      </c>
      <c r="D37" s="50" t="s">
        <v>21</v>
      </c>
      <c r="E37" s="51" t="s">
        <v>22</v>
      </c>
      <c r="F37" s="52" t="s">
        <v>23</v>
      </c>
    </row>
    <row r="38">
      <c r="A38" s="53">
        <v>1.0</v>
      </c>
      <c r="B38" s="54" t="str">
        <f>B36</f>
        <v>#REF!</v>
      </c>
      <c r="C38" s="55" t="s">
        <v>41</v>
      </c>
      <c r="D38" s="56" t="s">
        <v>25</v>
      </c>
      <c r="E38" s="57"/>
      <c r="F38" s="58"/>
    </row>
    <row r="39">
      <c r="A39" s="53">
        <v>2.0</v>
      </c>
      <c r="B39" s="54" t="str">
        <f t="shared" ref="B39:B40" si="1">IF(F38&lt;10,MROUND(B38*0.8,5),B38)</f>
        <v>#REF!</v>
      </c>
      <c r="C39" s="55" t="s">
        <v>41</v>
      </c>
      <c r="D39" s="56" t="s">
        <v>25</v>
      </c>
      <c r="E39" s="57"/>
      <c r="F39" s="58"/>
    </row>
    <row r="40">
      <c r="A40" s="59">
        <v>3.0</v>
      </c>
      <c r="B40" s="60" t="str">
        <f t="shared" si="1"/>
        <v>#REF!</v>
      </c>
      <c r="C40" s="61" t="s">
        <v>41</v>
      </c>
      <c r="D40" s="62" t="s">
        <v>25</v>
      </c>
      <c r="E40" s="63"/>
      <c r="F40" s="58"/>
    </row>
    <row r="43">
      <c r="A43" s="64" t="str">
        <f>HYPERLINK("https://www.youtube.com/watch?v=9YH1YvZbiY0","3. MACHINE LOW ROW")</f>
        <v>3. MACHINE LOW ROW</v>
      </c>
      <c r="B43" s="44"/>
      <c r="C43" s="44"/>
      <c r="D43" s="44"/>
      <c r="E43" s="44"/>
      <c r="F43" s="45"/>
    </row>
    <row r="44">
      <c r="A44" s="46" t="s">
        <v>17</v>
      </c>
      <c r="B44" s="47">
        <f>IF((AND(A27="",C23&gt;=145)),40,IF((AND(A27="",C23&lt;145)),35,IF((AND(D27="",C23&gt;145)),35,30)))</f>
        <v>30</v>
      </c>
      <c r="C44" s="4"/>
      <c r="D44" s="4"/>
      <c r="E44" s="4"/>
      <c r="F44" s="48"/>
    </row>
    <row r="45">
      <c r="A45" s="49" t="s">
        <v>18</v>
      </c>
      <c r="B45" s="50" t="s">
        <v>19</v>
      </c>
      <c r="C45" s="50" t="s">
        <v>20</v>
      </c>
      <c r="D45" s="50" t="s">
        <v>21</v>
      </c>
      <c r="E45" s="51" t="s">
        <v>22</v>
      </c>
      <c r="F45" s="52" t="s">
        <v>23</v>
      </c>
    </row>
    <row r="46">
      <c r="A46" s="53">
        <v>1.0</v>
      </c>
      <c r="B46" s="54">
        <f>B44</f>
        <v>30</v>
      </c>
      <c r="C46" s="55" t="s">
        <v>41</v>
      </c>
      <c r="D46" s="56" t="s">
        <v>25</v>
      </c>
      <c r="E46" s="57"/>
      <c r="F46" s="58"/>
    </row>
    <row r="47">
      <c r="A47" s="53">
        <v>2.0</v>
      </c>
      <c r="B47" s="54">
        <f t="shared" ref="B47:B48" si="2">IF(F46&lt;10,MROUND(B46*0.8,5),B46)</f>
        <v>25</v>
      </c>
      <c r="C47" s="55" t="s">
        <v>41</v>
      </c>
      <c r="D47" s="56" t="s">
        <v>25</v>
      </c>
      <c r="E47" s="57"/>
      <c r="F47" s="58"/>
    </row>
    <row r="48">
      <c r="A48" s="59">
        <v>3.0</v>
      </c>
      <c r="B48" s="60">
        <f t="shared" si="2"/>
        <v>20</v>
      </c>
      <c r="C48" s="61" t="s">
        <v>41</v>
      </c>
      <c r="D48" s="62" t="s">
        <v>25</v>
      </c>
      <c r="E48" s="63"/>
      <c r="F48" s="58"/>
    </row>
    <row r="49">
      <c r="F49" s="1"/>
    </row>
    <row r="50">
      <c r="F50" s="1"/>
    </row>
    <row r="51">
      <c r="A51" s="65" t="str">
        <f>HYPERLINK("https://www.youtube.com/watch?v=Yke__29qVfo","4. TRICEPS PUSHDOWN (STRAIGHT BAR)")</f>
        <v>4. TRICEPS PUSHDOWN (STRAIGHT BAR)</v>
      </c>
      <c r="B51" s="44"/>
      <c r="C51" s="44"/>
      <c r="D51" s="44"/>
      <c r="E51" s="44"/>
      <c r="F51" s="45"/>
    </row>
    <row r="52">
      <c r="A52" s="46" t="s">
        <v>17</v>
      </c>
      <c r="B52" s="47" t="str">
        <f>'Pre Workout 1'!B86</f>
        <v>#REF!</v>
      </c>
      <c r="C52" s="4"/>
      <c r="D52" s="4"/>
      <c r="E52" s="4"/>
      <c r="F52" s="48"/>
    </row>
    <row r="53">
      <c r="A53" s="49" t="s">
        <v>18</v>
      </c>
      <c r="B53" s="50" t="s">
        <v>19</v>
      </c>
      <c r="C53" s="50" t="s">
        <v>20</v>
      </c>
      <c r="D53" s="50" t="s">
        <v>21</v>
      </c>
      <c r="E53" s="51" t="s">
        <v>22</v>
      </c>
      <c r="F53" s="52" t="s">
        <v>23</v>
      </c>
    </row>
    <row r="54">
      <c r="A54" s="53">
        <v>1.0</v>
      </c>
      <c r="B54" s="54" t="str">
        <f>B52</f>
        <v>#REF!</v>
      </c>
      <c r="C54" s="55" t="s">
        <v>24</v>
      </c>
      <c r="D54" s="56" t="s">
        <v>25</v>
      </c>
      <c r="E54" s="57"/>
      <c r="F54" s="58"/>
    </row>
    <row r="55">
      <c r="A55" s="53">
        <v>2.0</v>
      </c>
      <c r="B55" s="54" t="str">
        <f t="shared" ref="B55:B56" si="3">IF(F54&lt;10,MROUND(B54*0.8,2.5),B54)</f>
        <v>#REF!</v>
      </c>
      <c r="C55" s="55" t="s">
        <v>24</v>
      </c>
      <c r="D55" s="56" t="s">
        <v>25</v>
      </c>
      <c r="E55" s="57"/>
      <c r="F55" s="58"/>
    </row>
    <row r="56">
      <c r="A56" s="59">
        <v>3.0</v>
      </c>
      <c r="B56" s="60" t="str">
        <f t="shared" si="3"/>
        <v>#REF!</v>
      </c>
      <c r="C56" s="61" t="s">
        <v>24</v>
      </c>
      <c r="D56" s="62" t="s">
        <v>25</v>
      </c>
      <c r="E56" s="63"/>
      <c r="F56" s="58"/>
    </row>
    <row r="59">
      <c r="A59" s="66" t="str">
        <f>HYPERLINK("https://www.youtube.com/watch?v=9IqvmIhFxtY","5. BICEP CABLE CURL")</f>
        <v>5. BICEP CABLE CURL</v>
      </c>
      <c r="B59" s="44"/>
      <c r="C59" s="44"/>
      <c r="D59" s="44"/>
      <c r="E59" s="44"/>
      <c r="F59" s="45"/>
    </row>
    <row r="60">
      <c r="A60" s="46" t="s">
        <v>17</v>
      </c>
      <c r="B60" s="81" t="str">
        <f>IF('Pre Workout 1'!B96='Pre Workout 1'!B98,'Pre Workout 1'!B96+5,IF('Pre Workout 1'!F96&lt;=9,MROUND('Pre Workout 1'!B96*0.95,5),MROUND('Pre Workout 1'!B96*0.85,2.5)))</f>
        <v>#REF!</v>
      </c>
      <c r="C60" s="4"/>
      <c r="D60" s="4"/>
      <c r="E60" s="4"/>
      <c r="F60" s="48"/>
    </row>
    <row r="61">
      <c r="A61" s="68" t="s">
        <v>18</v>
      </c>
      <c r="B61" s="69" t="s">
        <v>19</v>
      </c>
      <c r="C61" s="70" t="s">
        <v>20</v>
      </c>
      <c r="D61" s="69" t="s">
        <v>21</v>
      </c>
      <c r="E61" s="71" t="s">
        <v>22</v>
      </c>
      <c r="F61" s="52" t="s">
        <v>23</v>
      </c>
    </row>
    <row r="62">
      <c r="A62" s="72">
        <v>1.0</v>
      </c>
      <c r="B62" s="73" t="str">
        <f>B60</f>
        <v>#REF!</v>
      </c>
      <c r="C62" s="55" t="s">
        <v>24</v>
      </c>
      <c r="D62" s="74" t="s">
        <v>26</v>
      </c>
      <c r="E62" s="75" t="str">
        <f t="shared" ref="E62:E64" si="4">IF('WEEK 1 '!B54=B62,'WEEK 1 '!F54,"")</f>
        <v>#REF!</v>
      </c>
      <c r="F62" s="76"/>
    </row>
    <row r="63">
      <c r="A63" s="72">
        <v>2.0</v>
      </c>
      <c r="B63" s="73" t="str">
        <f t="shared" ref="B63:B64" si="5">IF(F62&lt;10,MROUND(B62*0.85,5),B62)</f>
        <v>#REF!</v>
      </c>
      <c r="C63" s="55" t="s">
        <v>24</v>
      </c>
      <c r="D63" s="74" t="s">
        <v>26</v>
      </c>
      <c r="E63" s="75" t="str">
        <f t="shared" si="4"/>
        <v>#REF!</v>
      </c>
      <c r="F63" s="76"/>
    </row>
    <row r="64">
      <c r="A64" s="77">
        <v>3.0</v>
      </c>
      <c r="B64" s="78" t="str">
        <f t="shared" si="5"/>
        <v>#REF!</v>
      </c>
      <c r="C64" s="61" t="s">
        <v>24</v>
      </c>
      <c r="D64" s="79" t="s">
        <v>26</v>
      </c>
      <c r="E64" s="80" t="str">
        <f t="shared" si="4"/>
        <v>#REF!</v>
      </c>
      <c r="F64" s="76"/>
    </row>
    <row r="67">
      <c r="A67" s="41" t="s">
        <v>27</v>
      </c>
      <c r="B67" s="27"/>
      <c r="C67" s="27"/>
      <c r="D67" s="27"/>
      <c r="E67" s="27"/>
      <c r="F67" s="28"/>
    </row>
    <row r="70">
      <c r="A70" s="42" t="s">
        <v>42</v>
      </c>
      <c r="B70" s="27"/>
      <c r="C70" s="27"/>
      <c r="D70" s="27"/>
      <c r="E70" s="27"/>
      <c r="F70" s="28"/>
    </row>
    <row r="71">
      <c r="A71" s="103" t="str">
        <f>HYPERLINK("https://www.youtube.com/watch?v=rmxOkkd2hUk","1. SHOULDER PRESS")</f>
        <v>1. SHOULDER PRESS</v>
      </c>
      <c r="B71" s="4"/>
      <c r="C71" s="4"/>
      <c r="D71" s="4"/>
      <c r="E71" s="4"/>
      <c r="F71" s="48"/>
    </row>
    <row r="72">
      <c r="A72" s="46" t="s">
        <v>17</v>
      </c>
      <c r="B72" s="47">
        <f>IF((AND(A27="",C23&gt;=145)),12.5,IF((AND(A27="",C23&lt;145)),10,IF((AND(D27="",C23&gt;145)),10,10)))</f>
        <v>10</v>
      </c>
      <c r="C72" s="4"/>
      <c r="D72" s="4"/>
      <c r="E72" s="4"/>
      <c r="F72" s="48"/>
    </row>
    <row r="73">
      <c r="A73" s="49" t="s">
        <v>18</v>
      </c>
      <c r="B73" s="50" t="s">
        <v>19</v>
      </c>
      <c r="C73" s="50" t="s">
        <v>20</v>
      </c>
      <c r="D73" s="50" t="s">
        <v>21</v>
      </c>
      <c r="E73" s="51" t="s">
        <v>22</v>
      </c>
      <c r="F73" s="52" t="s">
        <v>23</v>
      </c>
    </row>
    <row r="74">
      <c r="A74" s="53">
        <v>1.0</v>
      </c>
      <c r="B74" s="54">
        <f>B72</f>
        <v>10</v>
      </c>
      <c r="C74" s="55" t="s">
        <v>24</v>
      </c>
      <c r="D74" s="56" t="s">
        <v>25</v>
      </c>
      <c r="E74" s="57"/>
      <c r="F74" s="58"/>
    </row>
    <row r="75">
      <c r="A75" s="53">
        <v>2.0</v>
      </c>
      <c r="B75" s="54">
        <f>IF(F74&lt;10,MROUND(B74*0.85,2.5),B74)</f>
        <v>7.5</v>
      </c>
      <c r="C75" s="55" t="s">
        <v>24</v>
      </c>
      <c r="D75" s="56" t="s">
        <v>25</v>
      </c>
      <c r="E75" s="57"/>
      <c r="F75" s="58"/>
    </row>
    <row r="76">
      <c r="A76" s="59">
        <v>3.0</v>
      </c>
      <c r="B76" s="60">
        <f>IF(F75&lt;10,MROUND(B75*0.8,2.5),B75)</f>
        <v>5</v>
      </c>
      <c r="C76" s="61" t="s">
        <v>24</v>
      </c>
      <c r="D76" s="62" t="s">
        <v>25</v>
      </c>
      <c r="E76" s="63"/>
      <c r="F76" s="58"/>
    </row>
    <row r="79">
      <c r="A79" s="65" t="str">
        <f>HYPERLINK("https://youtu.be/0BaHgGyCFJY","2. MACHINE REAR DELT FLYS ")</f>
        <v>2. MACHINE REAR DELT FLYS </v>
      </c>
      <c r="B79" s="44"/>
      <c r="C79" s="44"/>
      <c r="D79" s="44"/>
      <c r="E79" s="44"/>
      <c r="F79" s="45"/>
    </row>
    <row r="80">
      <c r="A80" s="46" t="s">
        <v>17</v>
      </c>
      <c r="B80" s="47">
        <f>IF((AND(A27="",C23&gt;=145)),30,IF((AND(A27="",C23&lt;145)),25,IF((AND(D27="",C23&gt;145)),22.5,20)))</f>
        <v>20</v>
      </c>
      <c r="C80" s="4"/>
      <c r="D80" s="4"/>
      <c r="E80" s="4"/>
      <c r="F80" s="48"/>
    </row>
    <row r="81">
      <c r="A81" s="49" t="s">
        <v>18</v>
      </c>
      <c r="B81" s="50" t="s">
        <v>19</v>
      </c>
      <c r="C81" s="50" t="s">
        <v>20</v>
      </c>
      <c r="D81" s="50" t="s">
        <v>21</v>
      </c>
      <c r="E81" s="51" t="s">
        <v>22</v>
      </c>
      <c r="F81" s="52" t="s">
        <v>23</v>
      </c>
    </row>
    <row r="82">
      <c r="A82" s="53">
        <v>1.0</v>
      </c>
      <c r="B82" s="54">
        <f>B80</f>
        <v>20</v>
      </c>
      <c r="C82" s="55" t="s">
        <v>24</v>
      </c>
      <c r="D82" s="56" t="s">
        <v>25</v>
      </c>
      <c r="E82" s="57"/>
      <c r="F82" s="58"/>
    </row>
    <row r="83">
      <c r="A83" s="53">
        <v>2.0</v>
      </c>
      <c r="B83" s="54">
        <f t="shared" ref="B83:B84" si="6">IF(F82&lt;10,MROUND(B82*0.85,5),B82)</f>
        <v>15</v>
      </c>
      <c r="C83" s="55" t="s">
        <v>24</v>
      </c>
      <c r="D83" s="56" t="s">
        <v>25</v>
      </c>
      <c r="E83" s="57"/>
      <c r="F83" s="58"/>
    </row>
    <row r="84">
      <c r="A84" s="59">
        <v>3.0</v>
      </c>
      <c r="B84" s="60">
        <f t="shared" si="6"/>
        <v>15</v>
      </c>
      <c r="C84" s="61" t="s">
        <v>24</v>
      </c>
      <c r="D84" s="62" t="s">
        <v>25</v>
      </c>
      <c r="E84" s="63"/>
      <c r="F84" s="58"/>
    </row>
    <row r="87">
      <c r="A87" s="65" t="str">
        <f>HYPERLINK("https://www.youtube.com/watch?v=Yke__29qVfo","3. TRICEPS PUSHDOWN (STRAIGHT BAR)")</f>
        <v>3. TRICEPS PUSHDOWN (STRAIGHT BAR)</v>
      </c>
      <c r="B87" s="44"/>
      <c r="C87" s="44"/>
      <c r="D87" s="44"/>
      <c r="E87" s="44"/>
      <c r="F87" s="45"/>
    </row>
    <row r="88">
      <c r="A88" s="46" t="s">
        <v>17</v>
      </c>
      <c r="B88" s="47" t="str">
        <f>B52</f>
        <v>#REF!</v>
      </c>
      <c r="C88" s="4"/>
      <c r="D88" s="4"/>
      <c r="E88" s="4"/>
      <c r="F88" s="48"/>
    </row>
    <row r="89">
      <c r="A89" s="49" t="s">
        <v>18</v>
      </c>
      <c r="B89" s="50" t="s">
        <v>19</v>
      </c>
      <c r="C89" s="50" t="s">
        <v>20</v>
      </c>
      <c r="D89" s="50" t="s">
        <v>21</v>
      </c>
      <c r="E89" s="51" t="s">
        <v>22</v>
      </c>
      <c r="F89" s="52" t="s">
        <v>23</v>
      </c>
    </row>
    <row r="90">
      <c r="A90" s="53">
        <v>1.0</v>
      </c>
      <c r="B90" s="54" t="str">
        <f>B88</f>
        <v>#REF!</v>
      </c>
      <c r="C90" s="55" t="s">
        <v>24</v>
      </c>
      <c r="D90" s="56" t="s">
        <v>25</v>
      </c>
      <c r="E90" s="57"/>
      <c r="F90" s="58"/>
    </row>
    <row r="91">
      <c r="A91" s="53">
        <v>2.0</v>
      </c>
      <c r="B91" s="54" t="str">
        <f t="shared" ref="B91:B92" si="7">IF(F90&lt;10,MROUND(B90*0.85,5),B90)</f>
        <v>#REF!</v>
      </c>
      <c r="C91" s="55" t="s">
        <v>24</v>
      </c>
      <c r="D91" s="56" t="s">
        <v>25</v>
      </c>
      <c r="E91" s="57"/>
      <c r="F91" s="58"/>
    </row>
    <row r="92">
      <c r="A92" s="59">
        <v>3.0</v>
      </c>
      <c r="B92" s="60" t="str">
        <f t="shared" si="7"/>
        <v>#REF!</v>
      </c>
      <c r="C92" s="61" t="s">
        <v>24</v>
      </c>
      <c r="D92" s="62" t="s">
        <v>25</v>
      </c>
      <c r="E92" s="63"/>
      <c r="F92" s="58"/>
    </row>
    <row r="95">
      <c r="A95" s="104" t="str">
        <f>HYPERLINK("https://www.youtube.com/watch?v=TorWpKwLCSg","4. ALTERNATING BICEP CURLS ")</f>
        <v>4. ALTERNATING BICEP CURLS </v>
      </c>
      <c r="B95" s="44"/>
      <c r="C95" s="44"/>
      <c r="D95" s="44"/>
      <c r="E95" s="44"/>
      <c r="F95" s="45"/>
    </row>
    <row r="96">
      <c r="A96" s="46" t="s">
        <v>17</v>
      </c>
      <c r="B96" s="47">
        <f>IF((AND(A27="",C23&gt;=145)),12.5,IF((AND(A27="",C23&lt;145)),10,IF((AND(D27="",C23&gt;145)),7.5,5)))</f>
        <v>5</v>
      </c>
      <c r="C96" s="4"/>
      <c r="D96" s="4"/>
      <c r="E96" s="4"/>
      <c r="F96" s="48"/>
    </row>
    <row r="97">
      <c r="A97" s="68" t="s">
        <v>18</v>
      </c>
      <c r="B97" s="69" t="s">
        <v>19</v>
      </c>
      <c r="C97" s="70" t="s">
        <v>20</v>
      </c>
      <c r="D97" s="69" t="s">
        <v>21</v>
      </c>
      <c r="E97" s="71" t="s">
        <v>22</v>
      </c>
      <c r="F97" s="52" t="s">
        <v>23</v>
      </c>
    </row>
    <row r="98">
      <c r="A98" s="72">
        <v>1.0</v>
      </c>
      <c r="B98" s="73">
        <f>B96</f>
        <v>5</v>
      </c>
      <c r="C98" s="55" t="s">
        <v>24</v>
      </c>
      <c r="D98" s="74" t="s">
        <v>26</v>
      </c>
      <c r="E98" s="75" t="str">
        <f t="shared" ref="E98:E100" si="8">IF('WEEK 1 '!B90=B98,'WEEK 1 '!F90,"")</f>
        <v>#REF!</v>
      </c>
      <c r="F98" s="76"/>
    </row>
    <row r="99">
      <c r="A99" s="72">
        <v>2.0</v>
      </c>
      <c r="B99" s="73">
        <f>IF(F98&lt;10,MROUND(B98*0.85,2.5),B98)</f>
        <v>5</v>
      </c>
      <c r="C99" s="55" t="s">
        <v>24</v>
      </c>
      <c r="D99" s="74" t="s">
        <v>26</v>
      </c>
      <c r="E99" s="75" t="str">
        <f t="shared" si="8"/>
        <v>#REF!</v>
      </c>
      <c r="F99" s="76"/>
    </row>
    <row r="100">
      <c r="A100" s="77">
        <v>3.0</v>
      </c>
      <c r="B100" s="78">
        <f>IF(F99&lt;10,MROUND(B99*0.8,2.5),B99)</f>
        <v>5</v>
      </c>
      <c r="C100" s="61" t="s">
        <v>24</v>
      </c>
      <c r="D100" s="79" t="s">
        <v>26</v>
      </c>
      <c r="E100" s="80" t="str">
        <f t="shared" si="8"/>
        <v>#REF!</v>
      </c>
      <c r="F100" s="76"/>
    </row>
    <row r="103">
      <c r="A103" s="64" t="str">
        <f>HYPERLINK("https://www.youtube.com/watch?v=dVterVQksD4","5. LEG PRESS")</f>
        <v>5. LEG PRESS</v>
      </c>
      <c r="B103" s="44"/>
      <c r="C103" s="44"/>
      <c r="D103" s="44"/>
      <c r="E103" s="44"/>
      <c r="F103" s="45"/>
    </row>
    <row r="104">
      <c r="A104" s="46" t="s">
        <v>17</v>
      </c>
      <c r="B104" s="47" t="str">
        <f>'Pre Workout 1'!B114-15</f>
        <v>#REF!</v>
      </c>
      <c r="C104" s="4"/>
      <c r="D104" s="4"/>
      <c r="E104" s="4"/>
      <c r="F104" s="48"/>
    </row>
    <row r="105">
      <c r="A105" s="68" t="s">
        <v>18</v>
      </c>
      <c r="B105" s="69" t="s">
        <v>19</v>
      </c>
      <c r="C105" s="70" t="s">
        <v>20</v>
      </c>
      <c r="D105" s="69" t="s">
        <v>21</v>
      </c>
      <c r="E105" s="71" t="s">
        <v>22</v>
      </c>
      <c r="F105" s="52" t="s">
        <v>23</v>
      </c>
    </row>
    <row r="106">
      <c r="A106" s="72">
        <v>1.0</v>
      </c>
      <c r="B106" s="73" t="str">
        <f>B104</f>
        <v>#REF!</v>
      </c>
      <c r="C106" s="55" t="s">
        <v>29</v>
      </c>
      <c r="D106" s="74" t="s">
        <v>26</v>
      </c>
      <c r="E106" s="75" t="str">
        <f t="shared" ref="E106:E108" si="9">IF('WEEK 1 '!B98=B106,'WEEK 1 '!F98,"")</f>
        <v>#REF!</v>
      </c>
      <c r="F106" s="76"/>
    </row>
    <row r="107">
      <c r="A107" s="72">
        <v>2.0</v>
      </c>
      <c r="B107" s="73" t="str">
        <f>IF(F106&lt;10,MROUND(B106*0.85,5),B106)</f>
        <v>#REF!</v>
      </c>
      <c r="C107" s="55" t="s">
        <v>29</v>
      </c>
      <c r="D107" s="74" t="s">
        <v>26</v>
      </c>
      <c r="E107" s="75" t="str">
        <f t="shared" si="9"/>
        <v>#REF!</v>
      </c>
      <c r="F107" s="76"/>
    </row>
    <row r="108">
      <c r="A108" s="77">
        <v>3.0</v>
      </c>
      <c r="B108" s="78" t="str">
        <f>IF(F107&lt;10,MROUND(B107*0.8,5),B107)</f>
        <v>#REF!</v>
      </c>
      <c r="C108" s="61" t="s">
        <v>29</v>
      </c>
      <c r="D108" s="79" t="s">
        <v>26</v>
      </c>
      <c r="E108" s="80" t="str">
        <f t="shared" si="9"/>
        <v>#REF!</v>
      </c>
      <c r="F108" s="76"/>
    </row>
    <row r="111">
      <c r="A111" s="41" t="s">
        <v>30</v>
      </c>
      <c r="B111" s="27"/>
      <c r="C111" s="27"/>
      <c r="D111" s="27"/>
      <c r="E111" s="27"/>
      <c r="F111" s="28"/>
    </row>
    <row r="114">
      <c r="A114" s="42" t="s">
        <v>31</v>
      </c>
      <c r="B114" s="27"/>
      <c r="C114" s="27"/>
      <c r="D114" s="27"/>
      <c r="E114" s="27"/>
      <c r="F114" s="28"/>
    </row>
    <row r="115">
      <c r="A115" s="64" t="str">
        <f>HYPERLINK("https://www.youtube.com/watch?v=dVterVQksD4","1. LEG PRESS")</f>
        <v>1. LEG PRESS</v>
      </c>
      <c r="B115" s="44"/>
      <c r="C115" s="44"/>
      <c r="D115" s="44"/>
      <c r="E115" s="44"/>
      <c r="F115" s="45"/>
    </row>
    <row r="116">
      <c r="A116" s="46" t="s">
        <v>17</v>
      </c>
      <c r="B116" s="47">
        <v>80.0</v>
      </c>
      <c r="C116" s="4"/>
      <c r="D116" s="4"/>
      <c r="E116" s="4"/>
      <c r="F116" s="48"/>
    </row>
    <row r="117">
      <c r="A117" s="68" t="s">
        <v>18</v>
      </c>
      <c r="B117" s="69" t="s">
        <v>19</v>
      </c>
      <c r="C117" s="70" t="s">
        <v>20</v>
      </c>
      <c r="D117" s="69" t="s">
        <v>21</v>
      </c>
      <c r="E117" s="71" t="s">
        <v>22</v>
      </c>
      <c r="F117" s="52" t="s">
        <v>23</v>
      </c>
    </row>
    <row r="118">
      <c r="A118" s="72">
        <v>1.0</v>
      </c>
      <c r="B118" s="73">
        <f>B116-5</f>
        <v>75</v>
      </c>
      <c r="C118" s="55" t="s">
        <v>43</v>
      </c>
      <c r="D118" s="74" t="s">
        <v>26</v>
      </c>
      <c r="E118" s="75" t="str">
        <f t="shared" ref="E118:E122" si="10">IF('WEEK 1 '!B110=B118,'WEEK 1 '!F110,"")</f>
        <v>#REF!</v>
      </c>
      <c r="F118" s="76">
        <v>12.0</v>
      </c>
    </row>
    <row r="119">
      <c r="A119" s="72">
        <v>2.0</v>
      </c>
      <c r="B119" s="73">
        <f t="shared" ref="B119:B122" si="11">IF(F118&lt;15,MROUND(B118*0.85,5),B118)</f>
        <v>65</v>
      </c>
      <c r="C119" s="55" t="s">
        <v>43</v>
      </c>
      <c r="D119" s="74" t="s">
        <v>26</v>
      </c>
      <c r="E119" s="75" t="str">
        <f t="shared" si="10"/>
        <v>#REF!</v>
      </c>
      <c r="F119" s="76">
        <v>30.0</v>
      </c>
    </row>
    <row r="120">
      <c r="A120" s="72">
        <v>3.0</v>
      </c>
      <c r="B120" s="73">
        <f t="shared" si="11"/>
        <v>65</v>
      </c>
      <c r="C120" s="55" t="s">
        <v>43</v>
      </c>
      <c r="D120" s="74" t="s">
        <v>26</v>
      </c>
      <c r="E120" s="75" t="str">
        <f t="shared" si="10"/>
        <v>#REF!</v>
      </c>
      <c r="F120" s="105">
        <v>25.0</v>
      </c>
    </row>
    <row r="121">
      <c r="A121" s="82">
        <v>4.0</v>
      </c>
      <c r="B121" s="73">
        <f t="shared" si="11"/>
        <v>65</v>
      </c>
      <c r="C121" s="55" t="s">
        <v>43</v>
      </c>
      <c r="D121" s="74" t="s">
        <v>26</v>
      </c>
      <c r="E121" s="75" t="str">
        <f t="shared" si="10"/>
        <v>#REF!</v>
      </c>
      <c r="F121" s="106">
        <v>12.0</v>
      </c>
    </row>
    <row r="122">
      <c r="A122" s="83">
        <v>5.0</v>
      </c>
      <c r="B122" s="78">
        <f t="shared" si="11"/>
        <v>55</v>
      </c>
      <c r="C122" s="61" t="s">
        <v>43</v>
      </c>
      <c r="D122" s="79" t="s">
        <v>26</v>
      </c>
      <c r="E122" s="80" t="str">
        <f t="shared" si="10"/>
        <v>#REF!</v>
      </c>
      <c r="F122" s="107"/>
    </row>
    <row r="125">
      <c r="A125" s="84" t="str">
        <f>HYPERLINK("https://youtu.be/NZ9KiFtbiMs","2. LEG EXTENSION")</f>
        <v>2. LEG EXTENSION</v>
      </c>
      <c r="B125" s="44"/>
      <c r="C125" s="44"/>
      <c r="D125" s="44"/>
      <c r="E125" s="44"/>
      <c r="F125" s="45"/>
    </row>
    <row r="126">
      <c r="A126" s="46" t="s">
        <v>17</v>
      </c>
      <c r="B126" s="81" t="str">
        <f>IF('Pre Workout 1'!B126='Pre Workout 1'!B128,'Pre Workout 1'!B126+5,IF('Pre Workout 1'!F126&lt;=9,MROUND('Pre Workout 1'!B126*0.95,5),MROUND('Pre Workout 1'!B126*0.85,5)))</f>
        <v>#REF!</v>
      </c>
      <c r="C126" s="4"/>
      <c r="D126" s="4"/>
      <c r="E126" s="4"/>
      <c r="F126" s="48"/>
    </row>
    <row r="127">
      <c r="A127" s="87" t="s">
        <v>18</v>
      </c>
      <c r="B127" s="88" t="s">
        <v>19</v>
      </c>
      <c r="C127" s="88" t="s">
        <v>20</v>
      </c>
      <c r="D127" s="88" t="s">
        <v>21</v>
      </c>
      <c r="E127" s="89" t="s">
        <v>22</v>
      </c>
      <c r="F127" s="52" t="s">
        <v>23</v>
      </c>
    </row>
    <row r="128">
      <c r="A128" s="53">
        <v>1.0</v>
      </c>
      <c r="B128" s="90" t="str">
        <f>B126</f>
        <v>#REF!</v>
      </c>
      <c r="C128" s="55" t="s">
        <v>29</v>
      </c>
      <c r="D128" s="74" t="s">
        <v>25</v>
      </c>
      <c r="E128" s="91"/>
      <c r="F128" s="76"/>
    </row>
    <row r="129">
      <c r="A129" s="53">
        <v>2.0</v>
      </c>
      <c r="B129" s="90" t="str">
        <f>IF(F128&lt;10,MROUND(B128*0.85,5),B128)</f>
        <v>#REF!</v>
      </c>
      <c r="C129" s="55" t="s">
        <v>29</v>
      </c>
      <c r="D129" s="74" t="s">
        <v>25</v>
      </c>
      <c r="E129" s="91"/>
      <c r="F129" s="76"/>
    </row>
    <row r="130">
      <c r="A130" s="59">
        <v>3.0</v>
      </c>
      <c r="B130" s="92" t="str">
        <f>IF(F129&lt;10,MROUND(B129*0.8,5),B129)</f>
        <v>#REF!</v>
      </c>
      <c r="C130" s="61" t="s">
        <v>29</v>
      </c>
      <c r="D130" s="79" t="s">
        <v>25</v>
      </c>
      <c r="E130" s="93"/>
      <c r="F130" s="76"/>
    </row>
    <row r="131">
      <c r="A131" s="94"/>
    </row>
    <row r="133">
      <c r="A133" s="64" t="str">
        <f>HYPERLINK("https://youtu.be/XepOfsnGFJg","3. LEG CURL")</f>
        <v>3. LEG CURL</v>
      </c>
      <c r="B133" s="44"/>
      <c r="C133" s="44"/>
      <c r="D133" s="44"/>
      <c r="E133" s="44"/>
      <c r="F133" s="45"/>
    </row>
    <row r="134">
      <c r="A134" s="46" t="s">
        <v>17</v>
      </c>
      <c r="B134" s="81" t="str">
        <f>IF('Pre Workout 1'!B134='Pre Workout 1'!B136,'Pre Workout 1'!B134+5,IF('Pre Workout 1'!F134&lt;=9,MROUND('Pre Workout 1'!B134*0.95,5),MROUND('Pre Workout 1'!B134*0.85,5)))</f>
        <v>#REF!</v>
      </c>
      <c r="C134" s="4"/>
      <c r="D134" s="4"/>
      <c r="E134" s="4"/>
      <c r="F134" s="48"/>
    </row>
    <row r="135">
      <c r="A135" s="87" t="s">
        <v>18</v>
      </c>
      <c r="B135" s="88" t="s">
        <v>19</v>
      </c>
      <c r="C135" s="88" t="s">
        <v>20</v>
      </c>
      <c r="D135" s="88" t="s">
        <v>21</v>
      </c>
      <c r="E135" s="89" t="s">
        <v>22</v>
      </c>
      <c r="F135" s="52" t="s">
        <v>23</v>
      </c>
    </row>
    <row r="136">
      <c r="A136" s="53">
        <v>1.0</v>
      </c>
      <c r="B136" s="90" t="str">
        <f>B134</f>
        <v>#REF!</v>
      </c>
      <c r="C136" s="55" t="s">
        <v>29</v>
      </c>
      <c r="D136" s="74" t="s">
        <v>25</v>
      </c>
      <c r="E136" s="91"/>
      <c r="F136" s="76"/>
    </row>
    <row r="137">
      <c r="A137" s="53">
        <v>2.0</v>
      </c>
      <c r="B137" s="90" t="str">
        <f>IF(F136&lt;10,MROUND(B136*0.85,5),B136)</f>
        <v>#REF!</v>
      </c>
      <c r="C137" s="55" t="s">
        <v>29</v>
      </c>
      <c r="D137" s="74" t="s">
        <v>25</v>
      </c>
      <c r="E137" s="91"/>
      <c r="F137" s="76"/>
    </row>
    <row r="138">
      <c r="A138" s="59">
        <v>3.0</v>
      </c>
      <c r="B138" s="92" t="str">
        <f>IF(F137&lt;10,MROUND(B137*0.8,5),B137)</f>
        <v>#REF!</v>
      </c>
      <c r="C138" s="61" t="s">
        <v>29</v>
      </c>
      <c r="D138" s="79" t="s">
        <v>25</v>
      </c>
      <c r="E138" s="93"/>
      <c r="F138" s="76"/>
    </row>
    <row r="141">
      <c r="A141" s="97" t="s">
        <v>34</v>
      </c>
      <c r="B141" s="27"/>
      <c r="C141" s="27"/>
      <c r="D141" s="27"/>
      <c r="E141" s="27"/>
      <c r="F141" s="28"/>
    </row>
    <row r="142">
      <c r="A142" s="94"/>
    </row>
    <row r="143">
      <c r="A143" s="98" t="str">
        <f>HYPERLINK("https://www.amazon.com/30-Minute-Body-Investment-Champion/dp/0692791892/ref=sr_1_1?ie=UTF8&amp;qid=1490447969&amp;sr=8-1&amp;keywords=30+minute+body","WANT TO LEARN MORE?")</f>
        <v>WANT TO LEARN MORE?</v>
      </c>
      <c r="B143" s="27"/>
      <c r="C143" s="27"/>
      <c r="D143" s="27"/>
      <c r="E143" s="27"/>
      <c r="F143" s="28"/>
    </row>
    <row r="144">
      <c r="A144" s="99"/>
    </row>
    <row r="145">
      <c r="A145" s="100"/>
      <c r="B145" s="101"/>
      <c r="C145" s="102" t="s">
        <v>35</v>
      </c>
      <c r="D145" s="27"/>
      <c r="E145" s="27"/>
      <c r="F145" s="28"/>
    </row>
  </sheetData>
  <mergeCells count="64">
    <mergeCell ref="A133:F133"/>
    <mergeCell ref="B134:F134"/>
    <mergeCell ref="A139:F140"/>
    <mergeCell ref="A141:F141"/>
    <mergeCell ref="A142:F142"/>
    <mergeCell ref="A143:F143"/>
    <mergeCell ref="A144:F144"/>
    <mergeCell ref="C145:F145"/>
    <mergeCell ref="A114:F114"/>
    <mergeCell ref="A115:F115"/>
    <mergeCell ref="B116:F116"/>
    <mergeCell ref="A123:F124"/>
    <mergeCell ref="A125:F125"/>
    <mergeCell ref="B126:F126"/>
    <mergeCell ref="A131:F132"/>
    <mergeCell ref="A1:F8"/>
    <mergeCell ref="A9:F9"/>
    <mergeCell ref="A10:F11"/>
    <mergeCell ref="A12:F12"/>
    <mergeCell ref="A13:F13"/>
    <mergeCell ref="A14:F14"/>
    <mergeCell ref="A15:F15"/>
    <mergeCell ref="A16:F16"/>
    <mergeCell ref="A18:F18"/>
    <mergeCell ref="A19:F20"/>
    <mergeCell ref="A21:F21"/>
    <mergeCell ref="A22:F22"/>
    <mergeCell ref="A23:F23"/>
    <mergeCell ref="A24:F25"/>
    <mergeCell ref="A26:F26"/>
    <mergeCell ref="A27:F27"/>
    <mergeCell ref="B28:F28"/>
    <mergeCell ref="A33:F34"/>
    <mergeCell ref="A35:F35"/>
    <mergeCell ref="B36:F36"/>
    <mergeCell ref="A41:F42"/>
    <mergeCell ref="A43:F43"/>
    <mergeCell ref="B44:F44"/>
    <mergeCell ref="A51:F51"/>
    <mergeCell ref="B52:F52"/>
    <mergeCell ref="A57:F58"/>
    <mergeCell ref="A59:F59"/>
    <mergeCell ref="B60:F60"/>
    <mergeCell ref="A65:F66"/>
    <mergeCell ref="A67:F67"/>
    <mergeCell ref="A68:F69"/>
    <mergeCell ref="A70:F70"/>
    <mergeCell ref="A71:F71"/>
    <mergeCell ref="B72:F72"/>
    <mergeCell ref="A77:F78"/>
    <mergeCell ref="A79:F79"/>
    <mergeCell ref="B80:F80"/>
    <mergeCell ref="A85:F86"/>
    <mergeCell ref="A87:F87"/>
    <mergeCell ref="B88:F88"/>
    <mergeCell ref="A93:F94"/>
    <mergeCell ref="A95:F95"/>
    <mergeCell ref="B96:F96"/>
    <mergeCell ref="A101:F102"/>
    <mergeCell ref="A103:F103"/>
    <mergeCell ref="B104:F104"/>
    <mergeCell ref="A109:F110"/>
    <mergeCell ref="A111:F111"/>
    <mergeCell ref="A112:F113"/>
  </mergeCells>
  <dataValidations>
    <dataValidation type="decimal" operator="greaterThan" allowBlank="1" showDropDown="1" showErrorMessage="1" sqref="F17 F30:F32 F38:F40 F46:F50 F54:F56 F62:F64 F74:F76 F82:F84 F90:F92 F98:F100 F106:F108 F118:F122 F128:F130 F136:F138">
      <formula1>0.0</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8"/>
    </row>
    <row r="8">
      <c r="A8" s="109" t="s">
        <v>44</v>
      </c>
      <c r="B8" s="44"/>
      <c r="C8" s="44"/>
      <c r="D8" s="44"/>
      <c r="E8" s="45"/>
      <c r="F8" s="110"/>
      <c r="G8" s="111"/>
      <c r="I8" s="15" t="s">
        <v>3</v>
      </c>
      <c r="J8" s="16"/>
      <c r="K8" s="16"/>
      <c r="L8" s="16"/>
      <c r="M8" s="16"/>
      <c r="N8" s="17"/>
      <c r="O8" s="111"/>
    </row>
    <row r="9">
      <c r="A9" s="112" t="s">
        <v>45</v>
      </c>
      <c r="B9" s="11"/>
      <c r="C9" s="11"/>
      <c r="D9" s="11"/>
      <c r="E9" s="86"/>
      <c r="F9" s="113"/>
      <c r="I9" s="114" t="s">
        <v>46</v>
      </c>
      <c r="N9" s="19"/>
    </row>
    <row r="10">
      <c r="A10" s="115" t="s">
        <v>47</v>
      </c>
      <c r="B10" s="11"/>
      <c r="C10" s="11"/>
      <c r="D10" s="11"/>
      <c r="E10" s="86"/>
      <c r="F10" s="110"/>
      <c r="I10" s="20" t="s">
        <v>48</v>
      </c>
      <c r="J10" s="21"/>
      <c r="K10" s="21"/>
      <c r="L10" s="21"/>
      <c r="M10" s="21"/>
      <c r="N10" s="22"/>
    </row>
    <row r="11">
      <c r="A11" s="116" t="s">
        <v>37</v>
      </c>
      <c r="B11" s="24"/>
      <c r="C11" s="24"/>
      <c r="D11" s="24"/>
      <c r="E11" s="25"/>
      <c r="F11" s="117"/>
      <c r="I11" s="111"/>
    </row>
    <row r="12">
      <c r="A12" s="118" t="s">
        <v>49</v>
      </c>
      <c r="F12" s="118"/>
    </row>
    <row r="13">
      <c r="A13" s="119" t="s">
        <v>50</v>
      </c>
      <c r="B13" s="27"/>
      <c r="C13" s="27"/>
      <c r="D13" s="27"/>
      <c r="E13" s="28"/>
      <c r="F13" s="120"/>
    </row>
    <row r="14">
      <c r="A14" s="121"/>
      <c r="B14" s="121"/>
      <c r="C14" s="121"/>
      <c r="D14" s="121"/>
      <c r="E14" s="117"/>
      <c r="F14" s="117"/>
    </row>
    <row r="15">
      <c r="A15" s="122" t="s">
        <v>51</v>
      </c>
      <c r="B15" s="27"/>
      <c r="C15" s="27"/>
      <c r="D15" s="27"/>
      <c r="E15" s="28"/>
      <c r="F15" s="123"/>
    </row>
    <row r="16">
      <c r="A16" s="119" t="s">
        <v>52</v>
      </c>
      <c r="B16" s="27"/>
      <c r="C16" s="27"/>
      <c r="D16" s="27"/>
      <c r="E16" s="28"/>
      <c r="F16" s="120"/>
    </row>
    <row r="17">
      <c r="A17" s="124" t="str">
        <f>HYPERLINK("https://www.youtube.com/watch?v=qrv8cCA-WCY","WATCH- HOW TO MAX PROPERLY")</f>
        <v>WATCH- HOW TO MAX PROPERLY</v>
      </c>
      <c r="B17" s="27"/>
      <c r="C17" s="27"/>
      <c r="D17" s="27"/>
      <c r="E17" s="28"/>
      <c r="F17" s="125"/>
    </row>
    <row r="18">
      <c r="A18" s="126" t="s">
        <v>53</v>
      </c>
      <c r="B18" s="27"/>
      <c r="C18" s="27"/>
      <c r="D18" s="27"/>
      <c r="E18" s="28"/>
      <c r="F18" s="127"/>
      <c r="I18" s="128" t="str">
        <f>HYPERLINK("https://www.youtube.com/watch?v=ujVN-A0Z-ic","1. DUMBBELL INCLINE CHEST PRESS")</f>
        <v>1. DUMBBELL INCLINE CHEST PRESS</v>
      </c>
      <c r="J18" s="27"/>
      <c r="K18" s="27"/>
      <c r="L18" s="27"/>
      <c r="M18" s="28"/>
      <c r="N18" s="129"/>
      <c r="O18" s="126" t="s">
        <v>54</v>
      </c>
      <c r="P18" s="27"/>
      <c r="Q18" s="27"/>
      <c r="R18" s="27"/>
      <c r="S18" s="28"/>
    </row>
    <row r="19">
      <c r="A19" s="130" t="s">
        <v>18</v>
      </c>
      <c r="B19" s="131" t="s">
        <v>19</v>
      </c>
      <c r="C19" s="131" t="s">
        <v>20</v>
      </c>
      <c r="D19" s="132" t="s">
        <v>21</v>
      </c>
      <c r="E19" s="133" t="s">
        <v>23</v>
      </c>
      <c r="F19" s="134"/>
      <c r="I19" s="130" t="s">
        <v>18</v>
      </c>
      <c r="J19" s="130" t="s">
        <v>19</v>
      </c>
      <c r="K19" s="130" t="s">
        <v>20</v>
      </c>
      <c r="L19" s="135" t="s">
        <v>21</v>
      </c>
      <c r="M19" s="133" t="s">
        <v>23</v>
      </c>
      <c r="O19" s="130" t="s">
        <v>18</v>
      </c>
      <c r="P19" s="131" t="s">
        <v>19</v>
      </c>
      <c r="Q19" s="131" t="s">
        <v>20</v>
      </c>
      <c r="R19" s="132" t="s">
        <v>21</v>
      </c>
      <c r="S19" s="133" t="s">
        <v>23</v>
      </c>
    </row>
    <row r="20">
      <c r="A20" s="136">
        <v>1.0</v>
      </c>
      <c r="B20" s="137">
        <v>85.0</v>
      </c>
      <c r="C20" s="138">
        <v>1.0</v>
      </c>
      <c r="D20" s="139" t="s">
        <v>55</v>
      </c>
      <c r="E20" s="76"/>
      <c r="F20" s="140"/>
      <c r="I20" s="141">
        <v>1.0</v>
      </c>
      <c r="J20" s="137">
        <v>30.0</v>
      </c>
      <c r="K20" s="142">
        <v>4.0</v>
      </c>
      <c r="L20" s="139" t="s">
        <v>55</v>
      </c>
      <c r="M20" s="76"/>
      <c r="O20" s="136">
        <v>1.0</v>
      </c>
      <c r="P20" s="137">
        <v>85.0</v>
      </c>
      <c r="Q20" s="143">
        <v>4.0</v>
      </c>
      <c r="R20" s="139" t="s">
        <v>55</v>
      </c>
      <c r="S20" s="76"/>
    </row>
    <row r="21">
      <c r="A21" s="136">
        <v>2.0</v>
      </c>
      <c r="B21" s="137">
        <v>135.0</v>
      </c>
      <c r="C21" s="138">
        <v>1.0</v>
      </c>
      <c r="D21" s="139" t="s">
        <v>55</v>
      </c>
      <c r="E21" s="76"/>
      <c r="F21" s="140"/>
      <c r="I21" s="141">
        <v>2.0</v>
      </c>
      <c r="J21" s="137">
        <v>40.0</v>
      </c>
      <c r="K21" s="142">
        <v>4.0</v>
      </c>
      <c r="L21" s="139" t="s">
        <v>55</v>
      </c>
      <c r="M21" s="76"/>
      <c r="O21" s="136">
        <v>2.0</v>
      </c>
      <c r="P21" s="137">
        <v>135.0</v>
      </c>
      <c r="Q21" s="143">
        <v>4.0</v>
      </c>
      <c r="R21" s="139" t="s">
        <v>55</v>
      </c>
      <c r="S21" s="76"/>
    </row>
    <row r="22">
      <c r="A22" s="136">
        <v>3.0</v>
      </c>
      <c r="B22" s="137">
        <v>155.0</v>
      </c>
      <c r="C22" s="138">
        <v>1.0</v>
      </c>
      <c r="D22" s="139" t="s">
        <v>55</v>
      </c>
      <c r="E22" s="76"/>
      <c r="F22" s="140"/>
      <c r="I22" s="141">
        <v>3.0</v>
      </c>
      <c r="J22" s="137">
        <v>60.0</v>
      </c>
      <c r="K22" s="142">
        <v>4.0</v>
      </c>
      <c r="L22" s="139" t="s">
        <v>55</v>
      </c>
      <c r="M22" s="76"/>
      <c r="O22" s="136">
        <v>3.0</v>
      </c>
      <c r="P22" s="137">
        <v>155.0</v>
      </c>
      <c r="Q22" s="143">
        <v>4.0</v>
      </c>
      <c r="R22" s="139" t="s">
        <v>55</v>
      </c>
      <c r="S22" s="76"/>
    </row>
    <row r="23">
      <c r="A23" s="136">
        <v>4.0</v>
      </c>
      <c r="B23" s="137">
        <v>170.0</v>
      </c>
      <c r="C23" s="138">
        <v>1.0</v>
      </c>
      <c r="D23" s="139" t="s">
        <v>55</v>
      </c>
      <c r="E23" s="76"/>
      <c r="F23" s="140"/>
      <c r="I23" s="141">
        <v>4.0</v>
      </c>
      <c r="J23" s="137">
        <v>70.0</v>
      </c>
      <c r="K23" s="142">
        <v>4.0</v>
      </c>
      <c r="L23" s="139" t="s">
        <v>55</v>
      </c>
      <c r="M23" s="76"/>
      <c r="O23" s="136">
        <v>4.0</v>
      </c>
      <c r="P23" s="137">
        <v>170.0</v>
      </c>
      <c r="Q23" s="143">
        <v>4.0</v>
      </c>
      <c r="R23" s="139" t="s">
        <v>55</v>
      </c>
      <c r="S23" s="76"/>
    </row>
    <row r="24">
      <c r="A24" s="136">
        <v>5.0</v>
      </c>
      <c r="B24" s="137">
        <v>185.0</v>
      </c>
      <c r="C24" s="138">
        <v>1.0</v>
      </c>
      <c r="D24" s="139" t="s">
        <v>55</v>
      </c>
      <c r="E24" s="76"/>
      <c r="F24" s="140"/>
      <c r="I24" s="141">
        <v>5.0</v>
      </c>
      <c r="J24" s="137">
        <v>80.0</v>
      </c>
      <c r="K24" s="142">
        <v>4.0</v>
      </c>
      <c r="L24" s="139" t="s">
        <v>55</v>
      </c>
      <c r="M24" s="76"/>
      <c r="O24" s="136">
        <v>5.0</v>
      </c>
      <c r="P24" s="137">
        <v>185.0</v>
      </c>
      <c r="Q24" s="143">
        <v>4.0</v>
      </c>
      <c r="R24" s="139" t="s">
        <v>55</v>
      </c>
      <c r="S24" s="76"/>
    </row>
    <row r="25">
      <c r="A25" s="136">
        <v>6.0</v>
      </c>
      <c r="B25" s="137">
        <v>205.0</v>
      </c>
      <c r="C25" s="138">
        <v>1.0</v>
      </c>
      <c r="D25" s="139" t="s">
        <v>55</v>
      </c>
      <c r="E25" s="76"/>
      <c r="F25" s="140"/>
      <c r="I25" s="141">
        <v>6.0</v>
      </c>
      <c r="J25" s="137">
        <v>90.0</v>
      </c>
      <c r="K25" s="142">
        <v>4.0</v>
      </c>
      <c r="L25" s="139" t="s">
        <v>55</v>
      </c>
      <c r="M25" s="76"/>
      <c r="O25" s="136">
        <v>6.0</v>
      </c>
      <c r="P25" s="137">
        <v>205.0</v>
      </c>
      <c r="Q25" s="143">
        <v>4.0</v>
      </c>
      <c r="R25" s="139" t="s">
        <v>55</v>
      </c>
      <c r="S25" s="76"/>
    </row>
    <row r="26">
      <c r="A26" s="136">
        <v>7.0</v>
      </c>
      <c r="B26" s="137">
        <v>225.0</v>
      </c>
      <c r="C26" s="138">
        <v>1.0</v>
      </c>
      <c r="D26" s="139" t="s">
        <v>55</v>
      </c>
      <c r="E26" s="76"/>
      <c r="F26" s="140"/>
      <c r="I26" s="141">
        <v>7.0</v>
      </c>
      <c r="J26" s="137">
        <v>100.0</v>
      </c>
      <c r="K26" s="142">
        <v>4.0</v>
      </c>
      <c r="L26" s="139" t="s">
        <v>55</v>
      </c>
      <c r="M26" s="76"/>
      <c r="O26" s="136">
        <v>7.0</v>
      </c>
      <c r="P26" s="137">
        <v>225.0</v>
      </c>
      <c r="Q26" s="143">
        <v>4.0</v>
      </c>
      <c r="R26" s="139" t="s">
        <v>55</v>
      </c>
      <c r="S26" s="76"/>
    </row>
    <row r="27">
      <c r="A27" s="136">
        <v>8.0</v>
      </c>
      <c r="B27" s="137">
        <v>240.0</v>
      </c>
      <c r="C27" s="138">
        <v>1.0</v>
      </c>
      <c r="D27" s="139" t="s">
        <v>55</v>
      </c>
      <c r="E27" s="76"/>
      <c r="F27" s="140"/>
      <c r="I27" s="141">
        <v>8.0</v>
      </c>
      <c r="J27" s="137">
        <v>110.0</v>
      </c>
      <c r="K27" s="142">
        <v>4.0</v>
      </c>
      <c r="L27" s="139" t="s">
        <v>55</v>
      </c>
      <c r="M27" s="76"/>
      <c r="O27" s="136">
        <v>8.0</v>
      </c>
      <c r="P27" s="137">
        <v>240.0</v>
      </c>
      <c r="Q27" s="143">
        <v>4.0</v>
      </c>
      <c r="R27" s="139" t="s">
        <v>55</v>
      </c>
      <c r="S27" s="76"/>
    </row>
    <row r="28">
      <c r="A28" s="136">
        <v>9.0</v>
      </c>
      <c r="B28" s="137">
        <v>260.0</v>
      </c>
      <c r="C28" s="138">
        <v>1.0</v>
      </c>
      <c r="D28" s="139" t="s">
        <v>55</v>
      </c>
      <c r="E28" s="76"/>
      <c r="F28" s="140"/>
      <c r="I28" s="141">
        <v>9.0</v>
      </c>
      <c r="J28" s="137">
        <v>120.0</v>
      </c>
      <c r="K28" s="142">
        <v>4.0</v>
      </c>
      <c r="L28" s="139" t="s">
        <v>55</v>
      </c>
      <c r="M28" s="76"/>
      <c r="O28" s="136">
        <v>9.0</v>
      </c>
      <c r="P28" s="137">
        <v>260.0</v>
      </c>
      <c r="Q28" s="143">
        <v>4.0</v>
      </c>
      <c r="R28" s="139" t="s">
        <v>55</v>
      </c>
      <c r="S28" s="76"/>
    </row>
    <row r="29">
      <c r="A29" s="136">
        <v>10.0</v>
      </c>
      <c r="B29" s="137">
        <v>280.0</v>
      </c>
      <c r="C29" s="138">
        <v>1.0</v>
      </c>
      <c r="D29" s="139" t="s">
        <v>55</v>
      </c>
      <c r="E29" s="144"/>
      <c r="F29" s="145"/>
      <c r="I29" s="141">
        <v>10.0</v>
      </c>
      <c r="J29" s="137">
        <v>130.0</v>
      </c>
      <c r="K29" s="142">
        <v>4.0</v>
      </c>
      <c r="L29" s="139" t="s">
        <v>55</v>
      </c>
      <c r="M29" s="76"/>
      <c r="O29" s="136">
        <v>10.0</v>
      </c>
      <c r="P29" s="137">
        <v>280.0</v>
      </c>
      <c r="Q29" s="143">
        <v>4.0</v>
      </c>
      <c r="R29" s="139" t="s">
        <v>55</v>
      </c>
      <c r="S29" s="76"/>
    </row>
    <row r="30">
      <c r="A30" s="136">
        <v>11.0</v>
      </c>
      <c r="B30" s="137">
        <v>305.0</v>
      </c>
      <c r="C30" s="138">
        <v>1.0</v>
      </c>
      <c r="D30" s="139" t="s">
        <v>55</v>
      </c>
      <c r="E30" s="144"/>
      <c r="F30" s="145"/>
      <c r="I30" s="141">
        <v>11.0</v>
      </c>
      <c r="J30" s="137">
        <v>140.0</v>
      </c>
      <c r="K30" s="142">
        <v>4.0</v>
      </c>
      <c r="L30" s="139" t="s">
        <v>55</v>
      </c>
      <c r="M30" s="144"/>
      <c r="O30" s="136">
        <v>11.0</v>
      </c>
      <c r="P30" s="137">
        <v>305.0</v>
      </c>
      <c r="Q30" s="143">
        <v>4.0</v>
      </c>
      <c r="R30" s="139" t="s">
        <v>55</v>
      </c>
      <c r="S30" s="76"/>
    </row>
    <row r="31">
      <c r="A31" s="146" t="s">
        <v>56</v>
      </c>
      <c r="B31" s="11"/>
      <c r="C31" s="11"/>
      <c r="D31" s="12"/>
      <c r="E31" s="147">
        <v>245.0</v>
      </c>
      <c r="F31" s="148"/>
      <c r="I31" s="146" t="s">
        <v>56</v>
      </c>
      <c r="J31" s="11"/>
      <c r="K31" s="11"/>
      <c r="L31" s="12"/>
      <c r="M31" s="147"/>
      <c r="O31" s="146" t="s">
        <v>56</v>
      </c>
      <c r="P31" s="11"/>
      <c r="Q31" s="11"/>
      <c r="R31" s="12"/>
      <c r="S31" s="147"/>
    </row>
    <row r="32">
      <c r="A32" s="111"/>
      <c r="F32" s="111"/>
      <c r="G32" s="111"/>
    </row>
    <row r="33">
      <c r="A33" s="149" t="str">
        <f>HYPERLINK("https://www.youtube.com/watch?v=PnaDzYh2axA","2. Lat Pull Down")</f>
        <v>2. Lat Pull Down</v>
      </c>
      <c r="B33" s="27"/>
      <c r="C33" s="27"/>
      <c r="D33" s="27"/>
      <c r="E33" s="28"/>
      <c r="F33" s="150"/>
    </row>
    <row r="34">
      <c r="A34" s="151"/>
      <c r="B34" s="4"/>
      <c r="C34" s="4"/>
      <c r="D34" s="4"/>
      <c r="E34" s="4"/>
      <c r="F34" s="111"/>
    </row>
    <row r="35">
      <c r="A35" s="130" t="s">
        <v>57</v>
      </c>
      <c r="B35" s="131" t="s">
        <v>58</v>
      </c>
      <c r="C35" s="131" t="s">
        <v>59</v>
      </c>
      <c r="D35" s="132" t="s">
        <v>21</v>
      </c>
      <c r="E35" s="133" t="s">
        <v>23</v>
      </c>
      <c r="F35" s="134"/>
    </row>
    <row r="36">
      <c r="A36" s="152" t="s">
        <v>60</v>
      </c>
      <c r="B36" s="137">
        <v>70.0</v>
      </c>
      <c r="C36" s="143">
        <v>4.0</v>
      </c>
      <c r="D36" s="139" t="s">
        <v>55</v>
      </c>
      <c r="E36" s="76"/>
      <c r="F36" s="140"/>
    </row>
    <row r="37">
      <c r="A37" s="153" t="s">
        <v>61</v>
      </c>
      <c r="B37" s="137">
        <v>90.0</v>
      </c>
      <c r="C37" s="143">
        <v>4.0</v>
      </c>
      <c r="D37" s="139" t="s">
        <v>55</v>
      </c>
      <c r="E37" s="76"/>
      <c r="F37" s="140"/>
    </row>
    <row r="38">
      <c r="A38" s="153" t="s">
        <v>62</v>
      </c>
      <c r="B38" s="137">
        <v>110.0</v>
      </c>
      <c r="C38" s="143">
        <v>4.0</v>
      </c>
      <c r="D38" s="139" t="s">
        <v>55</v>
      </c>
      <c r="E38" s="76"/>
      <c r="F38" s="140"/>
    </row>
    <row r="39">
      <c r="A39" s="153" t="s">
        <v>63</v>
      </c>
      <c r="B39" s="137">
        <v>130.0</v>
      </c>
      <c r="C39" s="143">
        <v>4.0</v>
      </c>
      <c r="D39" s="139" t="s">
        <v>55</v>
      </c>
      <c r="E39" s="76"/>
      <c r="F39" s="140"/>
    </row>
    <row r="40">
      <c r="A40" s="153" t="s">
        <v>64</v>
      </c>
      <c r="B40" s="137">
        <v>160.0</v>
      </c>
      <c r="C40" s="143">
        <v>4.0</v>
      </c>
      <c r="D40" s="139" t="s">
        <v>55</v>
      </c>
      <c r="E40" s="76"/>
      <c r="F40" s="140"/>
    </row>
    <row r="41">
      <c r="A41" s="153" t="s">
        <v>65</v>
      </c>
      <c r="B41" s="137">
        <v>180.0</v>
      </c>
      <c r="C41" s="143">
        <v>4.0</v>
      </c>
      <c r="D41" s="139" t="s">
        <v>55</v>
      </c>
      <c r="E41" s="76"/>
      <c r="F41" s="140"/>
    </row>
    <row r="42">
      <c r="A42" s="153" t="s">
        <v>66</v>
      </c>
      <c r="B42" s="137">
        <v>200.0</v>
      </c>
      <c r="C42" s="143">
        <v>4.0</v>
      </c>
      <c r="D42" s="139" t="s">
        <v>55</v>
      </c>
      <c r="E42" s="76"/>
      <c r="F42" s="140"/>
    </row>
    <row r="43">
      <c r="A43" s="153" t="s">
        <v>67</v>
      </c>
      <c r="B43" s="137">
        <v>210.0</v>
      </c>
      <c r="C43" s="143">
        <v>4.0</v>
      </c>
      <c r="D43" s="139" t="s">
        <v>55</v>
      </c>
      <c r="E43" s="76"/>
      <c r="F43" s="140"/>
    </row>
    <row r="44">
      <c r="A44" s="153" t="s">
        <v>68</v>
      </c>
      <c r="B44" s="137">
        <v>220.0</v>
      </c>
      <c r="C44" s="143">
        <v>4.0</v>
      </c>
      <c r="D44" s="139" t="s">
        <v>55</v>
      </c>
      <c r="E44" s="76"/>
      <c r="F44" s="140"/>
    </row>
    <row r="45">
      <c r="A45" s="153" t="s">
        <v>69</v>
      </c>
      <c r="B45" s="137">
        <v>230.0</v>
      </c>
      <c r="C45" s="143">
        <v>4.0</v>
      </c>
      <c r="D45" s="139" t="s">
        <v>55</v>
      </c>
      <c r="E45" s="76"/>
      <c r="F45" s="140"/>
    </row>
    <row r="46">
      <c r="A46" s="153" t="s">
        <v>70</v>
      </c>
      <c r="B46" s="137">
        <v>240.0</v>
      </c>
      <c r="C46" s="143">
        <v>4.0</v>
      </c>
      <c r="D46" s="139" t="s">
        <v>55</v>
      </c>
      <c r="E46" s="144"/>
      <c r="F46" s="145"/>
    </row>
    <row r="47">
      <c r="A47" s="146" t="s">
        <v>56</v>
      </c>
      <c r="B47" s="11"/>
      <c r="C47" s="11"/>
      <c r="D47" s="12"/>
      <c r="E47" s="147">
        <v>250.0</v>
      </c>
      <c r="F47" s="148"/>
    </row>
    <row r="48">
      <c r="A48" s="111"/>
      <c r="F48" s="111"/>
    </row>
    <row r="49">
      <c r="F49" s="111"/>
    </row>
    <row r="50">
      <c r="A50" s="149" t="str">
        <f>HYPERLINK("https://www.youtube.com/watch?v=9YH1YvZbiY0","3. Machine Low Row")</f>
        <v>3. Machine Low Row</v>
      </c>
      <c r="B50" s="27"/>
      <c r="C50" s="27"/>
      <c r="D50" s="27"/>
      <c r="E50" s="28"/>
      <c r="F50" s="154"/>
    </row>
    <row r="51">
      <c r="A51" s="130" t="s">
        <v>18</v>
      </c>
      <c r="B51" s="131" t="s">
        <v>19</v>
      </c>
      <c r="C51" s="131" t="s">
        <v>20</v>
      </c>
      <c r="D51" s="132" t="s">
        <v>21</v>
      </c>
      <c r="E51" s="133" t="s">
        <v>23</v>
      </c>
      <c r="F51" s="134"/>
    </row>
    <row r="52">
      <c r="A52" s="152" t="s">
        <v>60</v>
      </c>
      <c r="B52" s="137">
        <v>70.0</v>
      </c>
      <c r="C52" s="143">
        <v>4.0</v>
      </c>
      <c r="D52" s="139" t="s">
        <v>55</v>
      </c>
      <c r="E52" s="76"/>
      <c r="F52" s="140"/>
    </row>
    <row r="53">
      <c r="A53" s="153" t="s">
        <v>61</v>
      </c>
      <c r="B53" s="137">
        <v>90.0</v>
      </c>
      <c r="C53" s="143">
        <v>4.0</v>
      </c>
      <c r="D53" s="139" t="s">
        <v>55</v>
      </c>
      <c r="E53" s="144"/>
      <c r="F53" s="145"/>
    </row>
    <row r="54">
      <c r="A54" s="153" t="s">
        <v>62</v>
      </c>
      <c r="B54" s="137">
        <v>110.0</v>
      </c>
      <c r="C54" s="143">
        <v>4.0</v>
      </c>
      <c r="D54" s="139" t="s">
        <v>55</v>
      </c>
      <c r="E54" s="144"/>
      <c r="F54" s="145"/>
    </row>
    <row r="55">
      <c r="A55" s="153" t="s">
        <v>63</v>
      </c>
      <c r="B55" s="137">
        <v>130.0</v>
      </c>
      <c r="C55" s="143">
        <v>4.0</v>
      </c>
      <c r="D55" s="139" t="s">
        <v>55</v>
      </c>
      <c r="E55" s="144"/>
      <c r="F55" s="145"/>
    </row>
    <row r="56">
      <c r="A56" s="153" t="s">
        <v>64</v>
      </c>
      <c r="B56" s="137">
        <v>160.0</v>
      </c>
      <c r="C56" s="143">
        <v>4.0</v>
      </c>
      <c r="D56" s="139" t="s">
        <v>55</v>
      </c>
      <c r="E56" s="144"/>
      <c r="F56" s="145"/>
    </row>
    <row r="57">
      <c r="A57" s="153" t="s">
        <v>65</v>
      </c>
      <c r="B57" s="137">
        <v>180.0</v>
      </c>
      <c r="C57" s="143">
        <v>4.0</v>
      </c>
      <c r="D57" s="139" t="s">
        <v>55</v>
      </c>
      <c r="E57" s="144"/>
      <c r="F57" s="145"/>
    </row>
    <row r="58">
      <c r="A58" s="153" t="s">
        <v>66</v>
      </c>
      <c r="B58" s="137">
        <v>200.0</v>
      </c>
      <c r="C58" s="143">
        <v>4.0</v>
      </c>
      <c r="D58" s="139" t="s">
        <v>55</v>
      </c>
      <c r="E58" s="144"/>
      <c r="F58" s="145"/>
    </row>
    <row r="59">
      <c r="A59" s="153" t="s">
        <v>67</v>
      </c>
      <c r="B59" s="137">
        <v>210.0</v>
      </c>
      <c r="C59" s="143">
        <v>4.0</v>
      </c>
      <c r="D59" s="139" t="s">
        <v>55</v>
      </c>
      <c r="E59" s="144"/>
      <c r="F59" s="145"/>
    </row>
    <row r="60">
      <c r="A60" s="153" t="s">
        <v>68</v>
      </c>
      <c r="B60" s="137">
        <v>220.0</v>
      </c>
      <c r="C60" s="143">
        <v>4.0</v>
      </c>
      <c r="D60" s="139" t="s">
        <v>55</v>
      </c>
      <c r="E60" s="144"/>
      <c r="F60" s="145"/>
    </row>
    <row r="61">
      <c r="A61" s="153" t="s">
        <v>69</v>
      </c>
      <c r="B61" s="137">
        <v>230.0</v>
      </c>
      <c r="C61" s="143">
        <v>4.0</v>
      </c>
      <c r="D61" s="139" t="s">
        <v>55</v>
      </c>
      <c r="E61" s="144"/>
      <c r="F61" s="145"/>
    </row>
    <row r="62">
      <c r="A62" s="153" t="s">
        <v>70</v>
      </c>
      <c r="B62" s="137">
        <v>240.0</v>
      </c>
      <c r="C62" s="143">
        <v>4.0</v>
      </c>
      <c r="D62" s="139" t="s">
        <v>55</v>
      </c>
      <c r="E62" s="144"/>
      <c r="F62" s="145"/>
    </row>
    <row r="63">
      <c r="A63" s="146" t="s">
        <v>56</v>
      </c>
      <c r="B63" s="11"/>
      <c r="C63" s="11"/>
      <c r="D63" s="12"/>
      <c r="E63" s="147">
        <v>205.0</v>
      </c>
      <c r="F63" s="148"/>
    </row>
    <row r="64">
      <c r="A64" s="155"/>
      <c r="F64" s="155"/>
    </row>
    <row r="65">
      <c r="F65" s="155"/>
    </row>
    <row r="66">
      <c r="A66" s="156" t="str">
        <f>HYPERLINK("https://www.youtube.com/watch?v=hMUUvL3FlkE","4. MACHINE HIGH ROW")</f>
        <v>4. MACHINE HIGH ROW</v>
      </c>
      <c r="B66" s="27"/>
      <c r="C66" s="27"/>
      <c r="D66" s="27"/>
      <c r="E66" s="28"/>
      <c r="F66" s="157"/>
    </row>
    <row r="67">
      <c r="A67" s="151"/>
      <c r="B67" s="4"/>
      <c r="C67" s="4"/>
      <c r="D67" s="4"/>
      <c r="E67" s="4"/>
      <c r="F67" s="111"/>
    </row>
    <row r="68">
      <c r="A68" s="130" t="s">
        <v>18</v>
      </c>
      <c r="B68" s="131" t="s">
        <v>19</v>
      </c>
      <c r="C68" s="131" t="s">
        <v>20</v>
      </c>
      <c r="D68" s="132" t="s">
        <v>21</v>
      </c>
      <c r="E68" s="133" t="s">
        <v>23</v>
      </c>
      <c r="F68" s="134"/>
    </row>
    <row r="69">
      <c r="A69" s="152" t="s">
        <v>60</v>
      </c>
      <c r="B69" s="158">
        <v>50.0</v>
      </c>
      <c r="C69" s="143">
        <v>4.0</v>
      </c>
      <c r="D69" s="139" t="s">
        <v>55</v>
      </c>
      <c r="E69" s="144"/>
      <c r="F69" s="145"/>
    </row>
    <row r="70">
      <c r="A70" s="153" t="s">
        <v>61</v>
      </c>
      <c r="B70" s="137">
        <f t="shared" ref="B70:B79" si="1">B69+5</f>
        <v>55</v>
      </c>
      <c r="C70" s="143">
        <v>4.0</v>
      </c>
      <c r="D70" s="139" t="s">
        <v>55</v>
      </c>
      <c r="E70" s="144"/>
      <c r="F70" s="145"/>
    </row>
    <row r="71">
      <c r="A71" s="153" t="s">
        <v>62</v>
      </c>
      <c r="B71" s="137">
        <f t="shared" si="1"/>
        <v>60</v>
      </c>
      <c r="C71" s="143">
        <v>4.0</v>
      </c>
      <c r="D71" s="139" t="s">
        <v>55</v>
      </c>
      <c r="E71" s="144"/>
      <c r="F71" s="145"/>
    </row>
    <row r="72">
      <c r="A72" s="153" t="s">
        <v>63</v>
      </c>
      <c r="B72" s="137">
        <f t="shared" si="1"/>
        <v>65</v>
      </c>
      <c r="C72" s="143">
        <v>4.0</v>
      </c>
      <c r="D72" s="139" t="s">
        <v>55</v>
      </c>
      <c r="E72" s="144"/>
      <c r="F72" s="145"/>
    </row>
    <row r="73">
      <c r="A73" s="153" t="s">
        <v>64</v>
      </c>
      <c r="B73" s="137">
        <f t="shared" si="1"/>
        <v>70</v>
      </c>
      <c r="C73" s="143">
        <v>4.0</v>
      </c>
      <c r="D73" s="139" t="s">
        <v>55</v>
      </c>
      <c r="E73" s="144"/>
      <c r="F73" s="145"/>
    </row>
    <row r="74">
      <c r="A74" s="153" t="s">
        <v>65</v>
      </c>
      <c r="B74" s="137">
        <f t="shared" si="1"/>
        <v>75</v>
      </c>
      <c r="C74" s="143">
        <v>4.0</v>
      </c>
      <c r="D74" s="139" t="s">
        <v>55</v>
      </c>
      <c r="E74" s="144"/>
      <c r="F74" s="145"/>
    </row>
    <row r="75">
      <c r="A75" s="153" t="s">
        <v>66</v>
      </c>
      <c r="B75" s="137">
        <f t="shared" si="1"/>
        <v>80</v>
      </c>
      <c r="C75" s="143">
        <v>4.0</v>
      </c>
      <c r="D75" s="139" t="s">
        <v>55</v>
      </c>
      <c r="E75" s="144"/>
      <c r="F75" s="145"/>
    </row>
    <row r="76">
      <c r="A76" s="153" t="s">
        <v>67</v>
      </c>
      <c r="B76" s="137">
        <f t="shared" si="1"/>
        <v>85</v>
      </c>
      <c r="C76" s="143">
        <v>4.0</v>
      </c>
      <c r="D76" s="139" t="s">
        <v>55</v>
      </c>
      <c r="E76" s="144"/>
      <c r="F76" s="145"/>
    </row>
    <row r="77">
      <c r="A77" s="153" t="s">
        <v>68</v>
      </c>
      <c r="B77" s="137">
        <f t="shared" si="1"/>
        <v>90</v>
      </c>
      <c r="C77" s="143">
        <v>4.0</v>
      </c>
      <c r="D77" s="139" t="s">
        <v>55</v>
      </c>
      <c r="E77" s="144"/>
      <c r="F77" s="145"/>
    </row>
    <row r="78">
      <c r="A78" s="153" t="s">
        <v>69</v>
      </c>
      <c r="B78" s="137">
        <f t="shared" si="1"/>
        <v>95</v>
      </c>
      <c r="C78" s="143">
        <v>4.0</v>
      </c>
      <c r="D78" s="139" t="s">
        <v>55</v>
      </c>
      <c r="E78" s="144"/>
      <c r="F78" s="145"/>
    </row>
    <row r="79">
      <c r="A79" s="153" t="s">
        <v>70</v>
      </c>
      <c r="B79" s="137">
        <f t="shared" si="1"/>
        <v>100</v>
      </c>
      <c r="C79" s="143">
        <v>4.0</v>
      </c>
      <c r="D79" s="139" t="s">
        <v>55</v>
      </c>
      <c r="E79" s="144"/>
      <c r="F79" s="145"/>
    </row>
    <row r="80">
      <c r="A80" s="146" t="s">
        <v>56</v>
      </c>
      <c r="B80" s="11"/>
      <c r="C80" s="11"/>
      <c r="D80" s="12"/>
      <c r="E80" s="147">
        <v>60.0</v>
      </c>
      <c r="F80" s="148"/>
    </row>
    <row r="81">
      <c r="A81" s="111"/>
      <c r="F81" s="111"/>
    </row>
    <row r="82">
      <c r="F82" s="111"/>
    </row>
    <row r="83">
      <c r="A83" s="159" t="s">
        <v>27</v>
      </c>
      <c r="B83" s="27"/>
      <c r="C83" s="27"/>
      <c r="D83" s="27"/>
      <c r="E83" s="28"/>
      <c r="F83" s="113"/>
    </row>
    <row r="84">
      <c r="A84" s="160" t="s">
        <v>71</v>
      </c>
      <c r="E84" s="19"/>
      <c r="F84" s="161"/>
    </row>
    <row r="85">
      <c r="A85" s="162" t="s">
        <v>37</v>
      </c>
      <c r="B85" s="2"/>
      <c r="C85" s="2"/>
      <c r="D85" s="2"/>
      <c r="E85" s="37"/>
      <c r="F85" s="117"/>
    </row>
    <row r="86">
      <c r="A86" s="108"/>
      <c r="F86" s="108"/>
    </row>
    <row r="87">
      <c r="A87" s="119" t="s">
        <v>50</v>
      </c>
      <c r="B87" s="27"/>
      <c r="C87" s="27"/>
      <c r="D87" s="27"/>
      <c r="E87" s="28"/>
      <c r="F87" s="120"/>
    </row>
    <row r="88">
      <c r="A88" s="121"/>
      <c r="F88" s="121"/>
    </row>
    <row r="89">
      <c r="A89" s="122" t="s">
        <v>51</v>
      </c>
      <c r="B89" s="27"/>
      <c r="C89" s="27"/>
      <c r="D89" s="27"/>
      <c r="E89" s="28"/>
      <c r="F89" s="123"/>
    </row>
    <row r="90">
      <c r="A90" s="119" t="s">
        <v>52</v>
      </c>
      <c r="B90" s="27"/>
      <c r="C90" s="27"/>
      <c r="D90" s="27"/>
      <c r="E90" s="28"/>
      <c r="F90" s="120"/>
    </row>
    <row r="91">
      <c r="A91" s="111"/>
      <c r="F91" s="111"/>
    </row>
    <row r="92">
      <c r="A92" s="149" t="str">
        <f>HYPERLINK("https://www.youtube.com/watch?v=dVterVQksD4","1. Leg Press")</f>
        <v>1. Leg Press</v>
      </c>
      <c r="B92" s="27"/>
      <c r="C92" s="27"/>
      <c r="D92" s="27"/>
      <c r="E92" s="28"/>
      <c r="F92" s="154"/>
    </row>
    <row r="93">
      <c r="A93" s="151"/>
      <c r="B93" s="4"/>
      <c r="C93" s="4"/>
      <c r="D93" s="4"/>
      <c r="E93" s="4"/>
      <c r="F93" s="111"/>
    </row>
    <row r="94">
      <c r="A94" s="130" t="s">
        <v>18</v>
      </c>
      <c r="B94" s="131" t="s">
        <v>19</v>
      </c>
      <c r="C94" s="131" t="s">
        <v>20</v>
      </c>
      <c r="D94" s="132" t="s">
        <v>21</v>
      </c>
      <c r="E94" s="133" t="s">
        <v>23</v>
      </c>
      <c r="F94" s="134"/>
    </row>
    <row r="95">
      <c r="A95" s="153" t="s">
        <v>72</v>
      </c>
      <c r="B95" s="137">
        <v>100.0</v>
      </c>
      <c r="C95" s="143">
        <v>10.0</v>
      </c>
      <c r="D95" s="139" t="s">
        <v>55</v>
      </c>
      <c r="E95" s="144"/>
      <c r="F95" s="145"/>
    </row>
    <row r="96">
      <c r="A96" s="153" t="s">
        <v>61</v>
      </c>
      <c r="B96" s="137">
        <v>130.0</v>
      </c>
      <c r="C96" s="143">
        <v>10.0</v>
      </c>
      <c r="D96" s="139" t="s">
        <v>55</v>
      </c>
      <c r="E96" s="144"/>
      <c r="F96" s="145"/>
    </row>
    <row r="97">
      <c r="A97" s="153"/>
      <c r="B97" s="137"/>
      <c r="C97" s="143"/>
      <c r="D97" s="139"/>
      <c r="E97" s="144"/>
      <c r="F97" s="145"/>
    </row>
    <row r="98">
      <c r="A98" s="153"/>
      <c r="B98" s="137"/>
      <c r="C98" s="143"/>
      <c r="D98" s="139"/>
      <c r="E98" s="144"/>
      <c r="F98" s="145"/>
    </row>
    <row r="99">
      <c r="A99" s="153" t="s">
        <v>62</v>
      </c>
      <c r="B99" s="137">
        <v>160.0</v>
      </c>
      <c r="C99" s="143">
        <v>10.0</v>
      </c>
      <c r="D99" s="139" t="s">
        <v>55</v>
      </c>
      <c r="E99" s="144"/>
      <c r="F99" s="145"/>
    </row>
    <row r="100">
      <c r="A100" s="153" t="s">
        <v>63</v>
      </c>
      <c r="B100" s="137">
        <v>190.0</v>
      </c>
      <c r="C100" s="143">
        <v>10.0</v>
      </c>
      <c r="D100" s="139" t="s">
        <v>55</v>
      </c>
      <c r="E100" s="144"/>
      <c r="F100" s="145"/>
    </row>
    <row r="101">
      <c r="A101" s="153" t="s">
        <v>64</v>
      </c>
      <c r="B101" s="137">
        <v>220.0</v>
      </c>
      <c r="C101" s="143">
        <v>10.0</v>
      </c>
      <c r="D101" s="139" t="s">
        <v>55</v>
      </c>
      <c r="E101" s="144"/>
      <c r="F101" s="145"/>
    </row>
    <row r="102">
      <c r="A102" s="153" t="s">
        <v>65</v>
      </c>
      <c r="B102" s="137">
        <v>250.0</v>
      </c>
      <c r="C102" s="143">
        <v>10.0</v>
      </c>
      <c r="D102" s="139" t="s">
        <v>55</v>
      </c>
      <c r="E102" s="76"/>
      <c r="F102" s="140"/>
    </row>
    <row r="103">
      <c r="A103" s="153" t="s">
        <v>66</v>
      </c>
      <c r="B103" s="137">
        <v>280.0</v>
      </c>
      <c r="C103" s="143">
        <v>10.0</v>
      </c>
      <c r="D103" s="139" t="s">
        <v>55</v>
      </c>
      <c r="E103" s="76"/>
      <c r="F103" s="140"/>
    </row>
    <row r="104">
      <c r="A104" s="153" t="s">
        <v>67</v>
      </c>
      <c r="B104" s="137">
        <v>310.0</v>
      </c>
      <c r="C104" s="143">
        <v>10.0</v>
      </c>
      <c r="D104" s="139" t="s">
        <v>55</v>
      </c>
      <c r="E104" s="144"/>
      <c r="F104" s="145"/>
    </row>
    <row r="105">
      <c r="A105" s="153" t="s">
        <v>68</v>
      </c>
      <c r="B105" s="137">
        <v>340.0</v>
      </c>
      <c r="C105" s="143">
        <v>10.0</v>
      </c>
      <c r="D105" s="139" t="s">
        <v>55</v>
      </c>
      <c r="E105" s="144"/>
      <c r="F105" s="145"/>
    </row>
    <row r="106">
      <c r="A106" s="153" t="s">
        <v>69</v>
      </c>
      <c r="B106" s="137">
        <v>370.0</v>
      </c>
      <c r="C106" s="143">
        <v>10.0</v>
      </c>
      <c r="D106" s="139" t="s">
        <v>55</v>
      </c>
      <c r="E106" s="144"/>
      <c r="F106" s="145"/>
    </row>
    <row r="107">
      <c r="A107" s="153" t="s">
        <v>70</v>
      </c>
      <c r="B107" s="137">
        <v>400.0</v>
      </c>
      <c r="C107" s="143">
        <v>10.0</v>
      </c>
      <c r="D107" s="139" t="s">
        <v>55</v>
      </c>
      <c r="E107" s="144"/>
      <c r="F107" s="145"/>
    </row>
    <row r="108">
      <c r="A108" s="163" t="s">
        <v>56</v>
      </c>
      <c r="B108" s="7"/>
      <c r="C108" s="7"/>
      <c r="D108" s="8"/>
      <c r="E108" s="147">
        <v>130.0</v>
      </c>
      <c r="F108" s="148"/>
    </row>
    <row r="109">
      <c r="A109" s="164"/>
      <c r="B109" s="7"/>
      <c r="C109" s="7"/>
      <c r="D109" s="7"/>
      <c r="E109" s="7"/>
      <c r="F109" s="111"/>
    </row>
    <row r="110">
      <c r="F110" s="111"/>
    </row>
    <row r="111">
      <c r="A111" s="149" t="str">
        <f>HYPERLINK("https://www.youtube.com/watch?v=NZ9KiFtbiMs","2. Leg Extension")</f>
        <v>2. Leg Extension</v>
      </c>
      <c r="B111" s="27"/>
      <c r="C111" s="27"/>
      <c r="D111" s="27"/>
      <c r="E111" s="28"/>
      <c r="F111" s="150"/>
    </row>
    <row r="112">
      <c r="A112" s="130" t="s">
        <v>18</v>
      </c>
      <c r="B112" s="131" t="s">
        <v>19</v>
      </c>
      <c r="C112" s="131" t="s">
        <v>20</v>
      </c>
      <c r="D112" s="132" t="s">
        <v>21</v>
      </c>
      <c r="E112" s="133" t="s">
        <v>23</v>
      </c>
      <c r="F112" s="134"/>
    </row>
    <row r="113">
      <c r="A113" s="153" t="s">
        <v>72</v>
      </c>
      <c r="B113" s="137">
        <v>50.0</v>
      </c>
      <c r="C113" s="143">
        <v>10.0</v>
      </c>
      <c r="D113" s="139" t="s">
        <v>55</v>
      </c>
      <c r="E113" s="144"/>
      <c r="F113" s="145"/>
    </row>
    <row r="114">
      <c r="A114" s="153" t="s">
        <v>61</v>
      </c>
      <c r="B114" s="137">
        <v>70.0</v>
      </c>
      <c r="C114" s="143">
        <v>10.0</v>
      </c>
      <c r="D114" s="139" t="s">
        <v>55</v>
      </c>
      <c r="E114" s="76"/>
      <c r="F114" s="140"/>
    </row>
    <row r="115">
      <c r="A115" s="153" t="s">
        <v>62</v>
      </c>
      <c r="B115" s="137">
        <v>80.0</v>
      </c>
      <c r="C115" s="143">
        <v>10.0</v>
      </c>
      <c r="D115" s="139" t="s">
        <v>55</v>
      </c>
      <c r="E115" s="76"/>
      <c r="F115" s="140"/>
    </row>
    <row r="116">
      <c r="A116" s="153" t="s">
        <v>63</v>
      </c>
      <c r="B116" s="137">
        <v>100.0</v>
      </c>
      <c r="C116" s="143">
        <v>10.0</v>
      </c>
      <c r="D116" s="139" t="s">
        <v>55</v>
      </c>
      <c r="E116" s="144"/>
      <c r="F116" s="145"/>
    </row>
    <row r="117">
      <c r="A117" s="153" t="s">
        <v>64</v>
      </c>
      <c r="B117" s="137">
        <v>120.0</v>
      </c>
      <c r="C117" s="143">
        <v>10.0</v>
      </c>
      <c r="D117" s="139" t="s">
        <v>55</v>
      </c>
      <c r="E117" s="76"/>
      <c r="F117" s="140"/>
    </row>
    <row r="118">
      <c r="A118" s="153" t="s">
        <v>65</v>
      </c>
      <c r="B118" s="137">
        <v>140.0</v>
      </c>
      <c r="C118" s="143">
        <v>10.0</v>
      </c>
      <c r="D118" s="139" t="s">
        <v>55</v>
      </c>
      <c r="E118" s="76"/>
      <c r="F118" s="140"/>
    </row>
    <row r="119">
      <c r="A119" s="153" t="s">
        <v>66</v>
      </c>
      <c r="B119" s="137">
        <v>160.0</v>
      </c>
      <c r="C119" s="143">
        <v>10.0</v>
      </c>
      <c r="D119" s="139" t="s">
        <v>55</v>
      </c>
      <c r="E119" s="144"/>
      <c r="F119" s="145"/>
    </row>
    <row r="120">
      <c r="A120" s="153" t="s">
        <v>67</v>
      </c>
      <c r="B120" s="137">
        <v>180.0</v>
      </c>
      <c r="C120" s="143">
        <v>10.0</v>
      </c>
      <c r="D120" s="139" t="s">
        <v>55</v>
      </c>
      <c r="E120" s="144"/>
      <c r="F120" s="145"/>
    </row>
    <row r="121">
      <c r="A121" s="153" t="s">
        <v>68</v>
      </c>
      <c r="B121" s="137">
        <v>200.0</v>
      </c>
      <c r="C121" s="143">
        <v>10.0</v>
      </c>
      <c r="D121" s="139" t="s">
        <v>55</v>
      </c>
      <c r="E121" s="144"/>
      <c r="F121" s="145"/>
    </row>
    <row r="122">
      <c r="A122" s="153" t="s">
        <v>69</v>
      </c>
      <c r="B122" s="137">
        <v>220.0</v>
      </c>
      <c r="C122" s="143">
        <v>10.0</v>
      </c>
      <c r="D122" s="139" t="s">
        <v>55</v>
      </c>
      <c r="E122" s="144"/>
      <c r="F122" s="145"/>
    </row>
    <row r="123">
      <c r="A123" s="153" t="s">
        <v>70</v>
      </c>
      <c r="B123" s="137">
        <v>240.0</v>
      </c>
      <c r="C123" s="143">
        <v>10.0</v>
      </c>
      <c r="D123" s="139" t="s">
        <v>55</v>
      </c>
      <c r="E123" s="144"/>
      <c r="F123" s="145"/>
    </row>
    <row r="124">
      <c r="A124" s="146" t="s">
        <v>56</v>
      </c>
      <c r="B124" s="11"/>
      <c r="C124" s="11"/>
      <c r="D124" s="12"/>
      <c r="E124" s="147">
        <v>86.0</v>
      </c>
      <c r="F124" s="148"/>
    </row>
    <row r="125">
      <c r="A125" s="111"/>
      <c r="F125" s="111"/>
    </row>
    <row r="126">
      <c r="A126" s="149" t="str">
        <f>HYPERLINK("https://www.youtube.com/watch?v=XepOfsnGFJg","3. Leg Curl")</f>
        <v>3. Leg Curl</v>
      </c>
      <c r="B126" s="27"/>
      <c r="C126" s="27"/>
      <c r="D126" s="27"/>
      <c r="E126" s="28"/>
      <c r="F126" s="150"/>
    </row>
    <row r="127">
      <c r="A127" s="165" t="s">
        <v>73</v>
      </c>
      <c r="B127" s="27"/>
      <c r="C127" s="27"/>
      <c r="D127" s="27"/>
      <c r="E127" s="28"/>
      <c r="F127" s="166"/>
    </row>
    <row r="128">
      <c r="A128" s="151"/>
      <c r="B128" s="4"/>
      <c r="C128" s="4"/>
      <c r="D128" s="4"/>
      <c r="E128" s="4"/>
      <c r="F128" s="111"/>
    </row>
    <row r="129">
      <c r="A129" s="130" t="s">
        <v>57</v>
      </c>
      <c r="B129" s="131" t="s">
        <v>58</v>
      </c>
      <c r="C129" s="131" t="s">
        <v>59</v>
      </c>
      <c r="D129" s="132" t="s">
        <v>21</v>
      </c>
      <c r="E129" s="133" t="s">
        <v>23</v>
      </c>
      <c r="F129" s="134"/>
    </row>
    <row r="130">
      <c r="A130" s="153" t="s">
        <v>72</v>
      </c>
      <c r="B130" s="137">
        <v>80.0</v>
      </c>
      <c r="C130" s="143">
        <v>10.0</v>
      </c>
      <c r="D130" s="139" t="s">
        <v>55</v>
      </c>
      <c r="E130" s="144"/>
      <c r="F130" s="145"/>
    </row>
    <row r="131">
      <c r="A131" s="153" t="s">
        <v>61</v>
      </c>
      <c r="B131" s="137">
        <v>100.0</v>
      </c>
      <c r="C131" s="143">
        <v>10.0</v>
      </c>
      <c r="D131" s="139" t="s">
        <v>55</v>
      </c>
      <c r="E131" s="76"/>
      <c r="F131" s="140"/>
    </row>
    <row r="132">
      <c r="A132" s="153" t="s">
        <v>62</v>
      </c>
      <c r="B132" s="137">
        <v>120.0</v>
      </c>
      <c r="C132" s="143">
        <v>10.0</v>
      </c>
      <c r="D132" s="139" t="s">
        <v>55</v>
      </c>
      <c r="E132" s="76"/>
      <c r="F132" s="140"/>
    </row>
    <row r="133">
      <c r="A133" s="153" t="s">
        <v>63</v>
      </c>
      <c r="B133" s="137">
        <v>140.0</v>
      </c>
      <c r="C133" s="143">
        <v>10.0</v>
      </c>
      <c r="D133" s="139" t="s">
        <v>55</v>
      </c>
      <c r="E133" s="76"/>
      <c r="F133" s="140"/>
    </row>
    <row r="134">
      <c r="A134" s="153" t="s">
        <v>64</v>
      </c>
      <c r="B134" s="137">
        <v>160.0</v>
      </c>
      <c r="C134" s="143">
        <v>10.0</v>
      </c>
      <c r="D134" s="139" t="s">
        <v>55</v>
      </c>
      <c r="E134" s="144"/>
      <c r="F134" s="145"/>
    </row>
    <row r="135">
      <c r="A135" s="153" t="s">
        <v>65</v>
      </c>
      <c r="B135" s="137">
        <v>180.0</v>
      </c>
      <c r="C135" s="143">
        <v>10.0</v>
      </c>
      <c r="D135" s="139" t="s">
        <v>55</v>
      </c>
      <c r="E135" s="144"/>
      <c r="F135" s="145"/>
    </row>
    <row r="136">
      <c r="A136" s="153" t="s">
        <v>66</v>
      </c>
      <c r="B136" s="137">
        <v>200.0</v>
      </c>
      <c r="C136" s="143">
        <v>10.0</v>
      </c>
      <c r="D136" s="139" t="s">
        <v>55</v>
      </c>
      <c r="E136" s="144"/>
      <c r="F136" s="145"/>
    </row>
    <row r="137">
      <c r="A137" s="153" t="s">
        <v>67</v>
      </c>
      <c r="B137" s="137">
        <v>220.0</v>
      </c>
      <c r="C137" s="143">
        <v>10.0</v>
      </c>
      <c r="D137" s="139" t="s">
        <v>55</v>
      </c>
      <c r="E137" s="144"/>
      <c r="F137" s="145"/>
    </row>
    <row r="138">
      <c r="A138" s="153" t="s">
        <v>68</v>
      </c>
      <c r="B138" s="137">
        <v>240.0</v>
      </c>
      <c r="C138" s="143">
        <v>10.0</v>
      </c>
      <c r="D138" s="139" t="s">
        <v>55</v>
      </c>
      <c r="E138" s="144"/>
      <c r="F138" s="145"/>
    </row>
    <row r="139">
      <c r="A139" s="153" t="s">
        <v>69</v>
      </c>
      <c r="B139" s="137">
        <v>260.0</v>
      </c>
      <c r="C139" s="143">
        <v>10.0</v>
      </c>
      <c r="D139" s="139" t="s">
        <v>55</v>
      </c>
      <c r="E139" s="144"/>
      <c r="F139" s="145"/>
    </row>
    <row r="140">
      <c r="A140" s="153" t="s">
        <v>70</v>
      </c>
      <c r="B140" s="137">
        <v>280.0</v>
      </c>
      <c r="C140" s="143">
        <v>10.0</v>
      </c>
      <c r="D140" s="139" t="s">
        <v>55</v>
      </c>
      <c r="E140" s="144"/>
      <c r="F140" s="145"/>
    </row>
    <row r="141">
      <c r="A141" s="146" t="s">
        <v>56</v>
      </c>
      <c r="B141" s="11"/>
      <c r="C141" s="11"/>
      <c r="D141" s="12"/>
      <c r="E141" s="147">
        <v>100.0</v>
      </c>
      <c r="F141" s="148"/>
    </row>
    <row r="142">
      <c r="A142" s="155"/>
      <c r="F142" s="155"/>
    </row>
    <row r="143">
      <c r="F143" s="155"/>
    </row>
    <row r="144">
      <c r="A144" s="167" t="s">
        <v>30</v>
      </c>
      <c r="B144" s="44"/>
      <c r="C144" s="44"/>
      <c r="D144" s="44"/>
      <c r="E144" s="45"/>
      <c r="F144" s="113"/>
    </row>
    <row r="145">
      <c r="A145" s="168" t="s">
        <v>74</v>
      </c>
      <c r="B145" s="11"/>
      <c r="C145" s="11"/>
      <c r="D145" s="11"/>
      <c r="E145" s="86"/>
      <c r="F145" s="161"/>
    </row>
    <row r="146">
      <c r="A146" s="116" t="s">
        <v>37</v>
      </c>
      <c r="B146" s="24"/>
      <c r="C146" s="24"/>
      <c r="D146" s="24"/>
      <c r="E146" s="25"/>
      <c r="F146" s="117"/>
    </row>
    <row r="147">
      <c r="A147" s="108"/>
      <c r="F147" s="108"/>
    </row>
    <row r="148">
      <c r="A148" s="119" t="s">
        <v>50</v>
      </c>
      <c r="B148" s="27"/>
      <c r="C148" s="27"/>
      <c r="D148" s="27"/>
      <c r="E148" s="28"/>
      <c r="F148" s="120"/>
    </row>
    <row r="149">
      <c r="A149" s="121"/>
      <c r="F149" s="121"/>
    </row>
    <row r="150">
      <c r="A150" s="169" t="s">
        <v>51</v>
      </c>
      <c r="B150" s="27"/>
      <c r="C150" s="27"/>
      <c r="D150" s="27"/>
      <c r="E150" s="28"/>
      <c r="F150" s="170"/>
    </row>
    <row r="151">
      <c r="A151" s="119" t="s">
        <v>52</v>
      </c>
      <c r="B151" s="27"/>
      <c r="C151" s="27"/>
      <c r="D151" s="27"/>
      <c r="E151" s="28"/>
      <c r="F151" s="120"/>
    </row>
    <row r="152">
      <c r="A152" s="111"/>
      <c r="F152" s="111"/>
    </row>
    <row r="153">
      <c r="A153" s="171" t="str">
        <f>HYPERLINK("https://www.youtube.com/watch?v=rmxOkkd2hUk","1. Dumbbell Shoulder Press")</f>
        <v>1. Dumbbell Shoulder Press</v>
      </c>
      <c r="B153" s="27"/>
      <c r="C153" s="27"/>
      <c r="D153" s="27"/>
      <c r="E153" s="28"/>
      <c r="F153" s="172"/>
    </row>
    <row r="154">
      <c r="A154" s="151"/>
      <c r="B154" s="4"/>
      <c r="C154" s="4"/>
      <c r="D154" s="4"/>
      <c r="E154" s="4"/>
      <c r="F154" s="111"/>
    </row>
    <row r="155">
      <c r="A155" s="130" t="s">
        <v>57</v>
      </c>
      <c r="B155" s="131" t="s">
        <v>58</v>
      </c>
      <c r="C155" s="131" t="s">
        <v>59</v>
      </c>
      <c r="D155" s="132" t="s">
        <v>21</v>
      </c>
      <c r="E155" s="133" t="s">
        <v>23</v>
      </c>
      <c r="F155" s="134"/>
    </row>
    <row r="156">
      <c r="A156" s="153" t="s">
        <v>72</v>
      </c>
      <c r="B156" s="137">
        <v>20.0</v>
      </c>
      <c r="C156" s="173">
        <v>4.0</v>
      </c>
      <c r="D156" s="139" t="s">
        <v>55</v>
      </c>
      <c r="E156" s="76"/>
      <c r="F156" s="140"/>
    </row>
    <row r="157">
      <c r="A157" s="153" t="s">
        <v>61</v>
      </c>
      <c r="B157" s="137">
        <v>30.0</v>
      </c>
      <c r="C157" s="173">
        <v>4.0</v>
      </c>
      <c r="D157" s="139" t="s">
        <v>55</v>
      </c>
      <c r="E157" s="76"/>
      <c r="F157" s="140"/>
    </row>
    <row r="158">
      <c r="A158" s="153" t="s">
        <v>62</v>
      </c>
      <c r="B158" s="137">
        <v>40.0</v>
      </c>
      <c r="C158" s="173">
        <v>4.0</v>
      </c>
      <c r="D158" s="139" t="s">
        <v>55</v>
      </c>
      <c r="E158" s="76"/>
      <c r="F158" s="140"/>
    </row>
    <row r="159">
      <c r="A159" s="153" t="s">
        <v>63</v>
      </c>
      <c r="B159" s="137">
        <v>50.0</v>
      </c>
      <c r="C159" s="173">
        <v>4.0</v>
      </c>
      <c r="D159" s="139" t="s">
        <v>55</v>
      </c>
      <c r="E159" s="76"/>
      <c r="F159" s="140"/>
    </row>
    <row r="160">
      <c r="A160" s="153" t="s">
        <v>64</v>
      </c>
      <c r="B160" s="137">
        <v>60.0</v>
      </c>
      <c r="C160" s="173">
        <v>4.0</v>
      </c>
      <c r="D160" s="139" t="s">
        <v>55</v>
      </c>
      <c r="E160" s="76"/>
      <c r="F160" s="140"/>
    </row>
    <row r="161">
      <c r="A161" s="153" t="s">
        <v>65</v>
      </c>
      <c r="B161" s="137">
        <v>65.0</v>
      </c>
      <c r="C161" s="173">
        <v>4.0</v>
      </c>
      <c r="D161" s="139" t="s">
        <v>55</v>
      </c>
      <c r="E161" s="76"/>
      <c r="F161" s="140"/>
    </row>
    <row r="162">
      <c r="A162" s="153" t="s">
        <v>66</v>
      </c>
      <c r="B162" s="137">
        <v>70.0</v>
      </c>
      <c r="C162" s="173">
        <v>4.0</v>
      </c>
      <c r="D162" s="139" t="s">
        <v>55</v>
      </c>
      <c r="E162" s="76"/>
      <c r="F162" s="140"/>
    </row>
    <row r="163">
      <c r="A163" s="153" t="s">
        <v>67</v>
      </c>
      <c r="B163" s="137">
        <v>75.0</v>
      </c>
      <c r="C163" s="173">
        <v>4.0</v>
      </c>
      <c r="D163" s="139" t="s">
        <v>55</v>
      </c>
      <c r="E163" s="76"/>
      <c r="F163" s="140"/>
    </row>
    <row r="164">
      <c r="A164" s="153" t="s">
        <v>68</v>
      </c>
      <c r="B164" s="137">
        <v>80.0</v>
      </c>
      <c r="C164" s="173">
        <v>4.0</v>
      </c>
      <c r="D164" s="139" t="s">
        <v>55</v>
      </c>
      <c r="E164" s="76"/>
      <c r="F164" s="140"/>
    </row>
    <row r="165">
      <c r="A165" s="153" t="s">
        <v>69</v>
      </c>
      <c r="B165" s="137">
        <v>85.0</v>
      </c>
      <c r="C165" s="173">
        <v>4.0</v>
      </c>
      <c r="D165" s="139" t="s">
        <v>55</v>
      </c>
      <c r="E165" s="76"/>
      <c r="F165" s="140"/>
    </row>
    <row r="166">
      <c r="A166" s="153" t="s">
        <v>70</v>
      </c>
      <c r="B166" s="137">
        <v>90.0</v>
      </c>
      <c r="C166" s="173">
        <v>4.0</v>
      </c>
      <c r="D166" s="139" t="s">
        <v>55</v>
      </c>
      <c r="E166" s="76"/>
      <c r="F166" s="140"/>
    </row>
    <row r="167">
      <c r="A167" s="146" t="s">
        <v>56</v>
      </c>
      <c r="B167" s="11"/>
      <c r="C167" s="11"/>
      <c r="D167" s="12"/>
      <c r="E167" s="147">
        <v>70.0</v>
      </c>
      <c r="F167" s="148"/>
    </row>
    <row r="168">
      <c r="A168" s="111"/>
      <c r="F168" s="111"/>
    </row>
    <row r="169">
      <c r="F169" s="111"/>
    </row>
    <row r="170">
      <c r="A170" s="174" t="str">
        <f>HYPERLINK("https://www.youtube.com/watch?v=TorWpKwLCSg","4. Alternating Dumbbell Curls")</f>
        <v>4. Alternating Dumbbell Curls</v>
      </c>
      <c r="B170" s="27"/>
      <c r="C170" s="27"/>
      <c r="D170" s="27"/>
      <c r="E170" s="28"/>
      <c r="F170" s="175"/>
    </row>
    <row r="171">
      <c r="A171" s="151"/>
      <c r="B171" s="4"/>
      <c r="C171" s="4"/>
      <c r="D171" s="4"/>
      <c r="E171" s="4"/>
      <c r="F171" s="111"/>
    </row>
    <row r="172">
      <c r="A172" s="130" t="s">
        <v>57</v>
      </c>
      <c r="B172" s="131" t="s">
        <v>58</v>
      </c>
      <c r="C172" s="131" t="s">
        <v>59</v>
      </c>
      <c r="D172" s="132" t="s">
        <v>21</v>
      </c>
      <c r="E172" s="133" t="s">
        <v>23</v>
      </c>
      <c r="F172" s="134"/>
    </row>
    <row r="173">
      <c r="A173" s="153">
        <v>1.0</v>
      </c>
      <c r="B173" s="137">
        <v>10.0</v>
      </c>
      <c r="C173" s="143">
        <v>4.0</v>
      </c>
      <c r="D173" s="139" t="s">
        <v>55</v>
      </c>
      <c r="E173" s="144"/>
      <c r="F173" s="145"/>
    </row>
    <row r="174">
      <c r="A174" s="153">
        <v>2.0</v>
      </c>
      <c r="B174" s="137">
        <v>15.0</v>
      </c>
      <c r="C174" s="143">
        <v>4.0</v>
      </c>
      <c r="D174" s="139" t="s">
        <v>55</v>
      </c>
      <c r="E174" s="144"/>
      <c r="F174" s="145"/>
    </row>
    <row r="175">
      <c r="A175" s="153">
        <v>3.0</v>
      </c>
      <c r="B175" s="137">
        <v>20.0</v>
      </c>
      <c r="C175" s="143">
        <v>4.0</v>
      </c>
      <c r="D175" s="139" t="s">
        <v>55</v>
      </c>
      <c r="E175" s="144"/>
      <c r="F175" s="145"/>
    </row>
    <row r="176">
      <c r="A176" s="153">
        <v>4.0</v>
      </c>
      <c r="B176" s="137">
        <v>25.0</v>
      </c>
      <c r="C176" s="143">
        <v>4.0</v>
      </c>
      <c r="D176" s="139" t="s">
        <v>55</v>
      </c>
      <c r="E176" s="144"/>
      <c r="F176" s="145"/>
    </row>
    <row r="177">
      <c r="A177" s="153">
        <v>5.0</v>
      </c>
      <c r="B177" s="137">
        <v>30.0</v>
      </c>
      <c r="C177" s="143">
        <v>4.0</v>
      </c>
      <c r="D177" s="139" t="s">
        <v>55</v>
      </c>
      <c r="E177" s="144"/>
      <c r="F177" s="145"/>
    </row>
    <row r="178">
      <c r="A178" s="153">
        <v>6.0</v>
      </c>
      <c r="B178" s="137">
        <v>35.0</v>
      </c>
      <c r="C178" s="143">
        <v>4.0</v>
      </c>
      <c r="D178" s="139" t="s">
        <v>55</v>
      </c>
      <c r="E178" s="144"/>
      <c r="F178" s="145"/>
    </row>
    <row r="179">
      <c r="A179" s="153">
        <v>7.0</v>
      </c>
      <c r="B179" s="137">
        <v>40.0</v>
      </c>
      <c r="C179" s="143">
        <v>4.0</v>
      </c>
      <c r="D179" s="139" t="s">
        <v>55</v>
      </c>
      <c r="E179" s="144"/>
      <c r="F179" s="145"/>
    </row>
    <row r="180">
      <c r="A180" s="153">
        <v>8.0</v>
      </c>
      <c r="B180" s="137">
        <v>45.0</v>
      </c>
      <c r="C180" s="143">
        <v>4.0</v>
      </c>
      <c r="D180" s="139" t="s">
        <v>55</v>
      </c>
      <c r="E180" s="144"/>
      <c r="F180" s="145"/>
    </row>
    <row r="181">
      <c r="A181" s="153">
        <v>9.0</v>
      </c>
      <c r="B181" s="137">
        <v>50.0</v>
      </c>
      <c r="C181" s="143">
        <v>4.0</v>
      </c>
      <c r="D181" s="139" t="s">
        <v>55</v>
      </c>
      <c r="E181" s="144"/>
      <c r="F181" s="145"/>
    </row>
    <row r="182">
      <c r="A182" s="153">
        <v>10.0</v>
      </c>
      <c r="B182" s="137">
        <v>55.0</v>
      </c>
      <c r="C182" s="143">
        <v>4.0</v>
      </c>
      <c r="D182" s="139" t="s">
        <v>55</v>
      </c>
      <c r="E182" s="144"/>
      <c r="F182" s="145"/>
    </row>
    <row r="183">
      <c r="A183" s="153">
        <v>11.0</v>
      </c>
      <c r="B183" s="137">
        <v>60.0</v>
      </c>
      <c r="C183" s="143">
        <v>4.0</v>
      </c>
      <c r="D183" s="139" t="s">
        <v>55</v>
      </c>
      <c r="E183" s="144"/>
      <c r="F183" s="145"/>
    </row>
    <row r="184">
      <c r="A184" s="153">
        <v>12.0</v>
      </c>
      <c r="B184" s="137">
        <v>65.0</v>
      </c>
      <c r="C184" s="143">
        <v>4.0</v>
      </c>
      <c r="D184" s="139" t="s">
        <v>55</v>
      </c>
      <c r="E184" s="144"/>
      <c r="F184" s="145"/>
    </row>
    <row r="185">
      <c r="A185" s="153">
        <v>13.0</v>
      </c>
      <c r="B185" s="137">
        <v>70.0</v>
      </c>
      <c r="C185" s="143">
        <v>4.0</v>
      </c>
      <c r="D185" s="139" t="s">
        <v>55</v>
      </c>
      <c r="E185" s="144"/>
      <c r="F185" s="145"/>
    </row>
    <row r="186">
      <c r="A186" s="153">
        <v>14.0</v>
      </c>
      <c r="B186" s="137">
        <v>75.0</v>
      </c>
      <c r="C186" s="143">
        <v>4.0</v>
      </c>
      <c r="D186" s="139" t="s">
        <v>55</v>
      </c>
      <c r="E186" s="144"/>
      <c r="F186" s="145"/>
    </row>
    <row r="187">
      <c r="A187" s="153">
        <v>15.0</v>
      </c>
      <c r="B187" s="137">
        <v>80.0</v>
      </c>
      <c r="C187" s="143">
        <v>4.0</v>
      </c>
      <c r="D187" s="139" t="s">
        <v>55</v>
      </c>
      <c r="E187" s="144"/>
      <c r="F187" s="145"/>
    </row>
    <row r="188">
      <c r="A188" s="153">
        <v>16.0</v>
      </c>
      <c r="B188" s="137">
        <v>85.0</v>
      </c>
      <c r="C188" s="143">
        <v>4.0</v>
      </c>
      <c r="D188" s="139" t="s">
        <v>55</v>
      </c>
      <c r="E188" s="144"/>
      <c r="F188" s="145"/>
    </row>
    <row r="189">
      <c r="A189" s="153">
        <v>17.0</v>
      </c>
      <c r="B189" s="137">
        <v>90.0</v>
      </c>
      <c r="C189" s="143">
        <v>4.0</v>
      </c>
      <c r="D189" s="139" t="s">
        <v>55</v>
      </c>
      <c r="E189" s="144"/>
      <c r="F189" s="145"/>
    </row>
    <row r="190">
      <c r="A190" s="153">
        <v>18.0</v>
      </c>
      <c r="B190" s="137">
        <v>95.0</v>
      </c>
      <c r="C190" s="143">
        <v>4.0</v>
      </c>
      <c r="D190" s="139" t="s">
        <v>55</v>
      </c>
      <c r="E190" s="144"/>
      <c r="F190" s="145"/>
    </row>
    <row r="191">
      <c r="A191" s="153">
        <v>19.0</v>
      </c>
      <c r="B191" s="137">
        <v>100.0</v>
      </c>
      <c r="C191" s="143">
        <v>4.0</v>
      </c>
      <c r="D191" s="139" t="s">
        <v>55</v>
      </c>
      <c r="E191" s="144"/>
      <c r="F191" s="145"/>
    </row>
    <row r="192">
      <c r="A192" s="153">
        <v>20.0</v>
      </c>
      <c r="B192" s="137">
        <v>105.0</v>
      </c>
      <c r="C192" s="143">
        <v>4.0</v>
      </c>
      <c r="D192" s="139" t="s">
        <v>55</v>
      </c>
      <c r="E192" s="144"/>
      <c r="F192" s="145"/>
    </row>
    <row r="193">
      <c r="A193" s="146" t="s">
        <v>56</v>
      </c>
      <c r="B193" s="11"/>
      <c r="C193" s="11"/>
      <c r="D193" s="12"/>
      <c r="E193" s="147">
        <v>40.0</v>
      </c>
      <c r="F193" s="148"/>
    </row>
    <row r="194">
      <c r="A194" s="111"/>
      <c r="F194" s="111"/>
    </row>
    <row r="195">
      <c r="F195" s="111"/>
    </row>
    <row r="196">
      <c r="A196" s="149" t="str">
        <f>HYPERLINK("https://www.youtube.com/watch?v=Yke__29qVfo","5. Tricep Push Down ")</f>
        <v>5. Tricep Push Down </v>
      </c>
      <c r="B196" s="27"/>
      <c r="C196" s="27"/>
      <c r="D196" s="27"/>
      <c r="E196" s="28"/>
      <c r="F196" s="150"/>
    </row>
    <row r="197">
      <c r="A197" s="151"/>
      <c r="B197" s="4"/>
      <c r="C197" s="4"/>
      <c r="D197" s="4"/>
      <c r="E197" s="4"/>
      <c r="F197" s="111"/>
    </row>
    <row r="198">
      <c r="A198" s="130" t="s">
        <v>57</v>
      </c>
      <c r="B198" s="131" t="s">
        <v>58</v>
      </c>
      <c r="C198" s="131" t="s">
        <v>59</v>
      </c>
      <c r="D198" s="132" t="s">
        <v>21</v>
      </c>
      <c r="E198" s="133" t="s">
        <v>23</v>
      </c>
      <c r="F198" s="134"/>
    </row>
    <row r="199">
      <c r="A199" s="153" t="s">
        <v>72</v>
      </c>
      <c r="B199" s="137">
        <v>10.0</v>
      </c>
      <c r="C199" s="143">
        <v>5.0</v>
      </c>
      <c r="D199" s="139" t="s">
        <v>55</v>
      </c>
      <c r="E199" s="144"/>
      <c r="F199" s="145"/>
    </row>
    <row r="200">
      <c r="A200" s="153" t="s">
        <v>61</v>
      </c>
      <c r="B200" s="137">
        <v>20.0</v>
      </c>
      <c r="C200" s="143">
        <v>5.0</v>
      </c>
      <c r="D200" s="139" t="s">
        <v>55</v>
      </c>
      <c r="E200" s="144"/>
      <c r="F200" s="145"/>
    </row>
    <row r="201">
      <c r="A201" s="153" t="s">
        <v>62</v>
      </c>
      <c r="B201" s="137">
        <v>30.0</v>
      </c>
      <c r="C201" s="143">
        <v>5.0</v>
      </c>
      <c r="D201" s="139" t="s">
        <v>55</v>
      </c>
      <c r="E201" s="144"/>
      <c r="F201" s="145"/>
    </row>
    <row r="202">
      <c r="A202" s="153" t="s">
        <v>63</v>
      </c>
      <c r="B202" s="137">
        <v>40.0</v>
      </c>
      <c r="C202" s="143">
        <v>5.0</v>
      </c>
      <c r="D202" s="139" t="s">
        <v>55</v>
      </c>
      <c r="E202" s="144"/>
      <c r="F202" s="145"/>
    </row>
    <row r="203">
      <c r="A203" s="153" t="s">
        <v>64</v>
      </c>
      <c r="B203" s="137">
        <v>50.0</v>
      </c>
      <c r="C203" s="143">
        <v>5.0</v>
      </c>
      <c r="D203" s="139" t="s">
        <v>55</v>
      </c>
      <c r="E203" s="144"/>
      <c r="F203" s="145"/>
    </row>
    <row r="204">
      <c r="A204" s="153" t="s">
        <v>65</v>
      </c>
      <c r="B204" s="137">
        <v>60.0</v>
      </c>
      <c r="C204" s="143">
        <v>5.0</v>
      </c>
      <c r="D204" s="139" t="s">
        <v>55</v>
      </c>
      <c r="E204" s="144"/>
      <c r="F204" s="145"/>
    </row>
    <row r="205">
      <c r="A205" s="153" t="s">
        <v>66</v>
      </c>
      <c r="B205" s="137">
        <v>70.0</v>
      </c>
      <c r="C205" s="143">
        <v>5.0</v>
      </c>
      <c r="D205" s="139" t="s">
        <v>55</v>
      </c>
      <c r="E205" s="144"/>
      <c r="F205" s="145"/>
    </row>
    <row r="206">
      <c r="A206" s="153" t="s">
        <v>67</v>
      </c>
      <c r="B206" s="137">
        <v>80.0</v>
      </c>
      <c r="C206" s="143">
        <v>5.0</v>
      </c>
      <c r="D206" s="139" t="s">
        <v>55</v>
      </c>
      <c r="E206" s="144"/>
      <c r="F206" s="145"/>
    </row>
    <row r="207">
      <c r="A207" s="153" t="s">
        <v>68</v>
      </c>
      <c r="B207" s="137">
        <v>90.0</v>
      </c>
      <c r="C207" s="143">
        <v>5.0</v>
      </c>
      <c r="D207" s="139" t="s">
        <v>55</v>
      </c>
      <c r="E207" s="76"/>
      <c r="F207" s="140"/>
    </row>
    <row r="208">
      <c r="A208" s="153" t="s">
        <v>69</v>
      </c>
      <c r="B208" s="137">
        <v>100.0</v>
      </c>
      <c r="C208" s="143">
        <v>5.0</v>
      </c>
      <c r="D208" s="139" t="s">
        <v>55</v>
      </c>
      <c r="E208" s="144"/>
      <c r="F208" s="145"/>
    </row>
    <row r="209">
      <c r="A209" s="153" t="s">
        <v>70</v>
      </c>
      <c r="B209" s="137">
        <v>110.0</v>
      </c>
      <c r="C209" s="143">
        <v>5.0</v>
      </c>
      <c r="D209" s="139" t="s">
        <v>55</v>
      </c>
      <c r="E209" s="76"/>
      <c r="F209" s="140"/>
    </row>
    <row r="210">
      <c r="A210" s="153" t="s">
        <v>75</v>
      </c>
      <c r="B210" s="137">
        <v>120.0</v>
      </c>
      <c r="C210" s="143">
        <v>5.0</v>
      </c>
      <c r="D210" s="139" t="s">
        <v>55</v>
      </c>
      <c r="E210" s="144"/>
      <c r="F210" s="145"/>
    </row>
    <row r="211">
      <c r="A211" s="153" t="s">
        <v>76</v>
      </c>
      <c r="B211" s="137">
        <v>130.0</v>
      </c>
      <c r="C211" s="143">
        <v>5.0</v>
      </c>
      <c r="D211" s="139" t="s">
        <v>55</v>
      </c>
      <c r="E211" s="76"/>
      <c r="F211" s="140"/>
    </row>
    <row r="212">
      <c r="A212" s="153" t="s">
        <v>77</v>
      </c>
      <c r="B212" s="137">
        <v>140.0</v>
      </c>
      <c r="C212" s="143">
        <v>5.0</v>
      </c>
      <c r="D212" s="139" t="s">
        <v>55</v>
      </c>
      <c r="E212" s="144"/>
      <c r="F212" s="145"/>
    </row>
    <row r="213">
      <c r="A213" s="153" t="s">
        <v>78</v>
      </c>
      <c r="B213" s="137">
        <v>150.0</v>
      </c>
      <c r="C213" s="143">
        <v>5.0</v>
      </c>
      <c r="D213" s="139" t="s">
        <v>55</v>
      </c>
      <c r="E213" s="144"/>
      <c r="F213" s="145"/>
    </row>
    <row r="214">
      <c r="A214" s="153" t="s">
        <v>79</v>
      </c>
      <c r="B214" s="137">
        <v>160.0</v>
      </c>
      <c r="C214" s="143">
        <v>5.0</v>
      </c>
      <c r="D214" s="139" t="s">
        <v>55</v>
      </c>
      <c r="E214" s="144"/>
      <c r="F214" s="145"/>
    </row>
    <row r="215">
      <c r="A215" s="153" t="s">
        <v>80</v>
      </c>
      <c r="B215" s="137">
        <v>170.0</v>
      </c>
      <c r="C215" s="143">
        <v>5.0</v>
      </c>
      <c r="D215" s="139" t="s">
        <v>55</v>
      </c>
      <c r="E215" s="144"/>
      <c r="F215" s="145"/>
    </row>
    <row r="216">
      <c r="A216" s="146" t="s">
        <v>56</v>
      </c>
      <c r="B216" s="11"/>
      <c r="C216" s="11"/>
      <c r="D216" s="12"/>
      <c r="E216" s="147">
        <v>80.0</v>
      </c>
      <c r="F216" s="148"/>
    </row>
  </sheetData>
  <mergeCells count="76">
    <mergeCell ref="A66:E66"/>
    <mergeCell ref="A67:E67"/>
    <mergeCell ref="A16:E16"/>
    <mergeCell ref="A17:E17"/>
    <mergeCell ref="A47:D47"/>
    <mergeCell ref="A48:E49"/>
    <mergeCell ref="A50:E50"/>
    <mergeCell ref="A63:D63"/>
    <mergeCell ref="A64:E65"/>
    <mergeCell ref="A93:E93"/>
    <mergeCell ref="A108:D108"/>
    <mergeCell ref="A86:E86"/>
    <mergeCell ref="A87:E87"/>
    <mergeCell ref="A88:E88"/>
    <mergeCell ref="A89:E89"/>
    <mergeCell ref="A90:E90"/>
    <mergeCell ref="A91:E91"/>
    <mergeCell ref="A92:E92"/>
    <mergeCell ref="A141:D141"/>
    <mergeCell ref="A142:E143"/>
    <mergeCell ref="A109:E110"/>
    <mergeCell ref="A111:E111"/>
    <mergeCell ref="A124:D124"/>
    <mergeCell ref="A125:E125"/>
    <mergeCell ref="A126:E126"/>
    <mergeCell ref="A127:E127"/>
    <mergeCell ref="A128:E128"/>
    <mergeCell ref="A151:E151"/>
    <mergeCell ref="A152:E152"/>
    <mergeCell ref="A144:E144"/>
    <mergeCell ref="A145:E145"/>
    <mergeCell ref="A146:E146"/>
    <mergeCell ref="A147:E147"/>
    <mergeCell ref="A148:E148"/>
    <mergeCell ref="A149:E149"/>
    <mergeCell ref="A150:E150"/>
    <mergeCell ref="A194:E195"/>
    <mergeCell ref="A196:E196"/>
    <mergeCell ref="A153:E153"/>
    <mergeCell ref="A154:E154"/>
    <mergeCell ref="A167:D167"/>
    <mergeCell ref="A168:E169"/>
    <mergeCell ref="A170:E170"/>
    <mergeCell ref="A171:E171"/>
    <mergeCell ref="A193:D193"/>
    <mergeCell ref="A10:E10"/>
    <mergeCell ref="A11:E11"/>
    <mergeCell ref="A9:E9"/>
    <mergeCell ref="A12:E12"/>
    <mergeCell ref="A18:E18"/>
    <mergeCell ref="I18:M18"/>
    <mergeCell ref="I11:S17"/>
    <mergeCell ref="O18:S18"/>
    <mergeCell ref="G32:S216"/>
    <mergeCell ref="A31:D31"/>
    <mergeCell ref="I31:L31"/>
    <mergeCell ref="A32:E32"/>
    <mergeCell ref="A33:E33"/>
    <mergeCell ref="A34:E34"/>
    <mergeCell ref="A1:S7"/>
    <mergeCell ref="A8:E8"/>
    <mergeCell ref="G8:H31"/>
    <mergeCell ref="I8:N8"/>
    <mergeCell ref="O8:S10"/>
    <mergeCell ref="I9:N9"/>
    <mergeCell ref="N18:N31"/>
    <mergeCell ref="O31:R31"/>
    <mergeCell ref="A197:E197"/>
    <mergeCell ref="A216:D216"/>
    <mergeCell ref="A13:E13"/>
    <mergeCell ref="A15:E15"/>
    <mergeCell ref="A80:D80"/>
    <mergeCell ref="A81:E82"/>
    <mergeCell ref="A83:E83"/>
    <mergeCell ref="A84:E84"/>
    <mergeCell ref="A85:E85"/>
  </mergeCells>
  <dataValidations>
    <dataValidation type="decimal" operator="greaterThanOrEqual" allowBlank="1" showDropDown="1" showErrorMessage="1" sqref="E14:F14 E20:F31 E36:F47 E52:F63 E69:F80 E95:F108 E113:F124 E130:F141 E156:F167 E173:F193 E199:F216">
      <formula1>0.0</formula1>
    </dataValidation>
    <dataValidation type="decimal" allowBlank="1" showDropDown="1" showErrorMessage="1" sqref="M20:M31 S20:S31">
      <formula1>0.0</formula1>
      <formula2>500.0</formula2>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6"/>
      <c r="B1" s="176"/>
      <c r="C1" s="176"/>
      <c r="D1" s="176"/>
      <c r="E1" s="177"/>
      <c r="F1" s="176"/>
      <c r="G1" s="178"/>
      <c r="H1" s="179"/>
      <c r="I1" s="179"/>
      <c r="J1" s="179"/>
      <c r="K1" s="179"/>
      <c r="L1" s="180"/>
      <c r="M1" s="94"/>
      <c r="N1" s="94"/>
      <c r="O1" s="94"/>
      <c r="P1" s="94"/>
      <c r="Q1" s="94"/>
      <c r="R1" s="94"/>
      <c r="S1" s="94"/>
      <c r="T1" s="94"/>
      <c r="U1" s="94"/>
      <c r="V1" s="94"/>
      <c r="W1" s="94"/>
      <c r="X1" s="94"/>
      <c r="Y1" s="94"/>
      <c r="Z1" s="94"/>
    </row>
    <row r="2">
      <c r="A2" s="176"/>
      <c r="B2" s="176"/>
      <c r="C2" s="176"/>
      <c r="D2" s="176"/>
      <c r="E2" s="177"/>
      <c r="F2" s="176"/>
      <c r="G2" s="181"/>
      <c r="H2" s="179"/>
      <c r="I2" s="179"/>
      <c r="J2" s="179"/>
      <c r="K2" s="179"/>
      <c r="L2" s="180"/>
      <c r="M2" s="94"/>
      <c r="N2" s="94"/>
      <c r="O2" s="94"/>
      <c r="P2" s="94"/>
      <c r="Q2" s="94"/>
      <c r="R2" s="94"/>
      <c r="S2" s="94"/>
      <c r="T2" s="94"/>
      <c r="U2" s="94"/>
      <c r="V2" s="94"/>
      <c r="W2" s="94"/>
      <c r="X2" s="94"/>
      <c r="Y2" s="94"/>
      <c r="Z2" s="94"/>
    </row>
    <row r="3">
      <c r="A3" s="176"/>
      <c r="B3" s="176"/>
      <c r="C3" s="176"/>
      <c r="D3" s="176"/>
      <c r="E3" s="177"/>
      <c r="F3" s="176"/>
      <c r="G3" s="182"/>
      <c r="H3" s="179"/>
      <c r="I3" s="179"/>
      <c r="J3" s="179"/>
      <c r="K3" s="179"/>
      <c r="L3" s="180"/>
      <c r="M3" s="94"/>
      <c r="N3" s="94"/>
      <c r="O3" s="94"/>
      <c r="P3" s="94"/>
      <c r="Q3" s="94"/>
      <c r="R3" s="94"/>
      <c r="S3" s="94"/>
      <c r="T3" s="94"/>
      <c r="U3" s="94"/>
      <c r="V3" s="94"/>
      <c r="W3" s="94"/>
      <c r="X3" s="94"/>
      <c r="Y3" s="94"/>
      <c r="Z3" s="94"/>
    </row>
    <row r="4">
      <c r="A4" s="176"/>
      <c r="B4" s="176"/>
      <c r="C4" s="176"/>
      <c r="D4" s="176"/>
      <c r="E4" s="177"/>
      <c r="F4" s="176"/>
      <c r="G4" s="182"/>
      <c r="H4" s="179"/>
      <c r="I4" s="179"/>
      <c r="J4" s="179"/>
      <c r="K4" s="179"/>
      <c r="L4" s="180"/>
      <c r="M4" s="94"/>
      <c r="N4" s="94"/>
      <c r="O4" s="94"/>
      <c r="P4" s="94"/>
      <c r="Q4" s="94"/>
      <c r="R4" s="94"/>
      <c r="S4" s="94"/>
      <c r="T4" s="94"/>
      <c r="U4" s="94"/>
      <c r="V4" s="94"/>
      <c r="W4" s="94"/>
      <c r="X4" s="94"/>
      <c r="Y4" s="94"/>
      <c r="Z4" s="94"/>
    </row>
    <row r="5">
      <c r="A5" s="176"/>
      <c r="B5" s="176"/>
      <c r="C5" s="176"/>
      <c r="D5" s="176"/>
      <c r="E5" s="177"/>
      <c r="F5" s="176"/>
      <c r="G5" s="182"/>
      <c r="H5" s="183"/>
      <c r="I5" s="184"/>
      <c r="J5" s="179"/>
      <c r="K5" s="179"/>
      <c r="L5" s="180"/>
      <c r="M5" s="94"/>
      <c r="N5" s="94"/>
      <c r="O5" s="94"/>
      <c r="P5" s="94"/>
      <c r="Q5" s="94"/>
      <c r="R5" s="94"/>
      <c r="S5" s="94"/>
      <c r="T5" s="94"/>
      <c r="U5" s="94"/>
      <c r="V5" s="94"/>
      <c r="W5" s="94"/>
      <c r="X5" s="94"/>
      <c r="Y5" s="94"/>
      <c r="Z5" s="94"/>
    </row>
    <row r="6">
      <c r="A6" s="176"/>
      <c r="B6" s="176"/>
      <c r="C6" s="176"/>
      <c r="D6" s="176"/>
      <c r="E6" s="177"/>
      <c r="F6" s="176"/>
      <c r="G6" s="182"/>
      <c r="H6" s="179"/>
      <c r="I6" s="179"/>
      <c r="J6" s="179"/>
      <c r="K6" s="179"/>
      <c r="L6" s="180"/>
      <c r="M6" s="94"/>
      <c r="N6" s="94"/>
      <c r="O6" s="94"/>
      <c r="P6" s="94"/>
      <c r="Q6" s="94"/>
      <c r="R6" s="94"/>
      <c r="S6" s="94"/>
      <c r="T6" s="94"/>
      <c r="U6" s="94"/>
      <c r="V6" s="94"/>
      <c r="W6" s="94"/>
      <c r="X6" s="94"/>
      <c r="Y6" s="94"/>
      <c r="Z6" s="94"/>
    </row>
    <row r="7">
      <c r="A7" s="176"/>
      <c r="B7" s="176"/>
      <c r="C7" s="176"/>
      <c r="D7" s="176"/>
      <c r="E7" s="177"/>
      <c r="F7" s="176"/>
      <c r="G7" s="182"/>
      <c r="H7" s="179"/>
      <c r="I7" s="179"/>
      <c r="J7" s="179"/>
      <c r="K7" s="179"/>
      <c r="L7" s="180"/>
      <c r="M7" s="94"/>
      <c r="N7" s="94"/>
      <c r="O7" s="94"/>
      <c r="P7" s="94"/>
      <c r="Q7" s="94"/>
      <c r="R7" s="94"/>
      <c r="S7" s="94"/>
      <c r="T7" s="94"/>
      <c r="U7" s="94"/>
      <c r="V7" s="94"/>
      <c r="W7" s="94"/>
      <c r="X7" s="94"/>
      <c r="Y7" s="94"/>
      <c r="Z7" s="94"/>
    </row>
    <row r="8">
      <c r="A8" s="176"/>
      <c r="G8" s="182"/>
      <c r="H8" s="179"/>
      <c r="I8" s="179"/>
      <c r="J8" s="179"/>
      <c r="K8" s="179"/>
      <c r="L8" s="180"/>
      <c r="M8" s="94"/>
      <c r="N8" s="94"/>
      <c r="O8" s="94"/>
      <c r="P8" s="94"/>
      <c r="Q8" s="94"/>
      <c r="R8" s="94"/>
      <c r="S8" s="94"/>
      <c r="T8" s="94"/>
      <c r="U8" s="94"/>
      <c r="V8" s="94"/>
      <c r="W8" s="94"/>
      <c r="X8" s="94"/>
      <c r="Y8" s="94"/>
      <c r="Z8" s="94"/>
    </row>
    <row r="9">
      <c r="A9" s="185" t="s">
        <v>81</v>
      </c>
      <c r="B9" s="11"/>
      <c r="C9" s="11"/>
      <c r="D9" s="11"/>
      <c r="E9" s="11"/>
      <c r="F9" s="12"/>
      <c r="G9" s="94"/>
      <c r="H9" s="15" t="s">
        <v>3</v>
      </c>
      <c r="I9" s="16"/>
      <c r="J9" s="16"/>
      <c r="K9" s="16"/>
      <c r="L9" s="16"/>
      <c r="M9" s="17"/>
      <c r="N9" s="94"/>
      <c r="O9" s="94"/>
      <c r="P9" s="94"/>
      <c r="Q9" s="94"/>
      <c r="R9" s="94"/>
      <c r="S9" s="94"/>
      <c r="T9" s="94"/>
      <c r="U9" s="94"/>
      <c r="V9" s="94"/>
      <c r="W9" s="94"/>
      <c r="X9" s="94"/>
      <c r="Y9" s="94"/>
      <c r="Z9" s="94"/>
    </row>
    <row r="10">
      <c r="A10" s="6" t="str">
        <f>HYPERLINK("https://goo.gl/forms/3ibooB993Hi7SS2d2","PRESS TO RECORD BODY WEIGHT")</f>
        <v>PRESS TO RECORD BODY WEIGHT</v>
      </c>
      <c r="B10" s="7"/>
      <c r="C10" s="7"/>
      <c r="D10" s="7"/>
      <c r="E10" s="7"/>
      <c r="F10" s="8"/>
      <c r="G10" s="94"/>
      <c r="H10" s="114" t="s">
        <v>82</v>
      </c>
      <c r="M10" s="19"/>
      <c r="N10" s="94"/>
      <c r="O10" s="94"/>
      <c r="P10" s="94"/>
      <c r="Q10" s="94"/>
      <c r="R10" s="94"/>
      <c r="S10" s="94"/>
      <c r="T10" s="94"/>
      <c r="U10" s="94"/>
      <c r="V10" s="94"/>
      <c r="W10" s="94"/>
      <c r="X10" s="94"/>
      <c r="Y10" s="94"/>
      <c r="Z10" s="94"/>
    </row>
    <row r="11">
      <c r="A11" s="9"/>
      <c r="B11" s="4"/>
      <c r="C11" s="4"/>
      <c r="D11" s="4"/>
      <c r="E11" s="4"/>
      <c r="F11" s="5"/>
      <c r="G11" s="94"/>
      <c r="H11" s="20" t="s">
        <v>83</v>
      </c>
      <c r="I11" s="21"/>
      <c r="J11" s="21"/>
      <c r="K11" s="21"/>
      <c r="L11" s="21"/>
      <c r="M11" s="22"/>
      <c r="N11" s="94"/>
      <c r="O11" s="94"/>
      <c r="P11" s="94"/>
      <c r="Q11" s="94"/>
      <c r="R11" s="94"/>
      <c r="S11" s="94"/>
      <c r="T11" s="94"/>
      <c r="U11" s="94"/>
      <c r="V11" s="94"/>
      <c r="W11" s="94"/>
      <c r="X11" s="94"/>
      <c r="Y11" s="94"/>
      <c r="Z11" s="94"/>
    </row>
    <row r="12">
      <c r="A12" s="10" t="s">
        <v>37</v>
      </c>
      <c r="B12" s="11"/>
      <c r="C12" s="11"/>
      <c r="D12" s="11"/>
      <c r="E12" s="11"/>
      <c r="F12" s="12"/>
      <c r="G12" s="94"/>
      <c r="H12" s="186"/>
      <c r="I12" s="187"/>
      <c r="J12" s="188"/>
      <c r="K12" s="186"/>
      <c r="L12" s="189"/>
      <c r="M12" s="94"/>
      <c r="N12" s="94"/>
      <c r="O12" s="94"/>
      <c r="P12" s="94"/>
      <c r="Q12" s="94"/>
      <c r="R12" s="94"/>
      <c r="S12" s="94"/>
      <c r="T12" s="94"/>
      <c r="U12" s="94"/>
      <c r="V12" s="94"/>
      <c r="W12" s="94"/>
      <c r="X12" s="94"/>
      <c r="Y12" s="94"/>
      <c r="Z12" s="94"/>
    </row>
    <row r="13">
      <c r="A13" s="13" t="s">
        <v>84</v>
      </c>
      <c r="B13" s="11"/>
      <c r="C13" s="11"/>
      <c r="D13" s="11"/>
      <c r="E13" s="11"/>
      <c r="F13" s="12"/>
      <c r="G13" s="94"/>
      <c r="H13" s="94"/>
      <c r="I13" s="94"/>
      <c r="J13" s="94"/>
      <c r="K13" s="94"/>
      <c r="L13" s="189"/>
      <c r="M13" s="94"/>
      <c r="N13" s="94"/>
      <c r="O13" s="94"/>
      <c r="P13" s="94"/>
      <c r="Q13" s="94"/>
      <c r="R13" s="94"/>
      <c r="S13" s="94"/>
      <c r="T13" s="94"/>
      <c r="U13" s="94"/>
      <c r="V13" s="94"/>
      <c r="W13" s="94"/>
      <c r="X13" s="94"/>
      <c r="Y13" s="94"/>
      <c r="Z13" s="94"/>
    </row>
    <row r="14">
      <c r="A14" s="186"/>
      <c r="B14" s="186"/>
      <c r="C14" s="186"/>
      <c r="D14" s="186"/>
      <c r="E14" s="190"/>
      <c r="F14" s="94"/>
      <c r="G14" s="94"/>
      <c r="H14" s="186"/>
      <c r="I14" s="186"/>
      <c r="J14" s="186"/>
      <c r="K14" s="94"/>
      <c r="L14" s="189"/>
      <c r="M14" s="94"/>
      <c r="N14" s="94"/>
      <c r="O14" s="94"/>
      <c r="P14" s="94"/>
      <c r="Q14" s="94"/>
      <c r="R14" s="94"/>
      <c r="S14" s="94"/>
      <c r="T14" s="94"/>
      <c r="U14" s="94"/>
      <c r="V14" s="94"/>
      <c r="W14" s="94"/>
      <c r="X14" s="94"/>
      <c r="Y14" s="94"/>
      <c r="Z14" s="94"/>
    </row>
    <row r="15">
      <c r="A15" s="41" t="s">
        <v>15</v>
      </c>
      <c r="B15" s="27"/>
      <c r="C15" s="27"/>
      <c r="D15" s="27"/>
      <c r="E15" s="27"/>
      <c r="F15" s="28"/>
      <c r="G15" s="94"/>
      <c r="H15" s="191" t="s">
        <v>85</v>
      </c>
      <c r="I15" s="27"/>
      <c r="J15" s="27"/>
      <c r="K15" s="27"/>
      <c r="L15" s="27"/>
      <c r="M15" s="28"/>
      <c r="N15" s="94"/>
      <c r="O15" s="191" t="s">
        <v>85</v>
      </c>
      <c r="P15" s="27"/>
      <c r="Q15" s="27"/>
      <c r="R15" s="27"/>
      <c r="S15" s="27"/>
      <c r="T15" s="28"/>
      <c r="U15" s="94"/>
      <c r="V15" s="94"/>
      <c r="W15" s="94"/>
      <c r="X15" s="94"/>
      <c r="Y15" s="94"/>
      <c r="Z15" s="94"/>
    </row>
    <row r="16">
      <c r="A16" s="186"/>
      <c r="B16" s="186"/>
      <c r="C16" s="186"/>
      <c r="D16" s="186"/>
      <c r="E16" s="190"/>
      <c r="F16" s="94"/>
      <c r="G16" s="94"/>
      <c r="H16" s="186"/>
      <c r="I16" s="186"/>
      <c r="J16" s="186"/>
      <c r="K16" s="94"/>
      <c r="L16" s="189"/>
      <c r="M16" s="94"/>
      <c r="N16" s="94"/>
      <c r="O16" s="94"/>
      <c r="P16" s="94"/>
      <c r="Q16" s="94"/>
      <c r="R16" s="94"/>
      <c r="S16" s="94"/>
      <c r="T16" s="94"/>
      <c r="U16" s="94"/>
      <c r="V16" s="94"/>
      <c r="W16" s="94"/>
      <c r="X16" s="94"/>
      <c r="Y16" s="94"/>
      <c r="Z16" s="94"/>
    </row>
    <row r="17">
      <c r="A17" s="186"/>
      <c r="B17" s="186"/>
      <c r="C17" s="186"/>
      <c r="D17" s="186"/>
      <c r="E17" s="190"/>
      <c r="F17" s="94"/>
      <c r="G17" s="94"/>
      <c r="H17" s="186"/>
      <c r="I17" s="186"/>
      <c r="J17" s="186"/>
      <c r="K17" s="94"/>
      <c r="L17" s="189"/>
      <c r="M17" s="94"/>
      <c r="N17" s="94"/>
      <c r="O17" s="94"/>
      <c r="P17" s="94"/>
      <c r="Q17" s="94"/>
      <c r="R17" s="94"/>
      <c r="S17" s="94"/>
      <c r="T17" s="94"/>
      <c r="U17" s="94"/>
      <c r="V17" s="94"/>
      <c r="W17" s="94"/>
      <c r="X17" s="94"/>
      <c r="Y17" s="94"/>
      <c r="Z17" s="94"/>
    </row>
    <row r="18">
      <c r="A18" s="42" t="s">
        <v>16</v>
      </c>
      <c r="B18" s="27"/>
      <c r="C18" s="27"/>
      <c r="D18" s="27"/>
      <c r="E18" s="27"/>
      <c r="F18" s="28"/>
      <c r="G18" s="94"/>
      <c r="H18" s="42" t="s">
        <v>16</v>
      </c>
      <c r="I18" s="27"/>
      <c r="J18" s="27"/>
      <c r="K18" s="27"/>
      <c r="L18" s="27"/>
      <c r="M18" s="28"/>
      <c r="N18" s="94"/>
      <c r="O18" s="42" t="s">
        <v>16</v>
      </c>
      <c r="P18" s="27"/>
      <c r="Q18" s="27"/>
      <c r="R18" s="27"/>
      <c r="S18" s="27"/>
      <c r="T18" s="28"/>
      <c r="U18" s="94"/>
      <c r="V18" s="94"/>
      <c r="W18" s="94"/>
      <c r="X18" s="94"/>
      <c r="Y18" s="94"/>
      <c r="Z18" s="94"/>
    </row>
    <row r="19">
      <c r="A19" s="192" t="str">
        <f>HYPERLINK("https://www.youtube.com/watch?v=iLgUDezDMbU","1. BENCH PRESS")</f>
        <v>1. BENCH PRESS</v>
      </c>
      <c r="B19" s="4"/>
      <c r="C19" s="4"/>
      <c r="D19" s="4"/>
      <c r="E19" s="4"/>
      <c r="F19" s="48"/>
      <c r="G19" s="94"/>
      <c r="H19" s="192" t="str">
        <f>HYPERLINK("https://www.youtube.com/watch?v=75e_H9Vq_Lw","1. MACHINE PRESS")</f>
        <v>1. MACHINE PRESS</v>
      </c>
      <c r="I19" s="4"/>
      <c r="J19" s="4"/>
      <c r="K19" s="4"/>
      <c r="L19" s="4"/>
      <c r="M19" s="48"/>
      <c r="N19" s="94"/>
      <c r="O19" s="43" t="str">
        <f>HYPERLINK("https://youtu.be/ujVN-A0Z-ic","1. DUMBBELL INCLINE PRESS")</f>
        <v>1. DUMBBELL INCLINE PRESS</v>
      </c>
      <c r="P19" s="44"/>
      <c r="Q19" s="44"/>
      <c r="R19" s="44"/>
      <c r="S19" s="44"/>
      <c r="T19" s="45"/>
      <c r="U19" s="94"/>
      <c r="V19" s="94"/>
      <c r="W19" s="94"/>
      <c r="X19" s="94"/>
      <c r="Y19" s="94"/>
      <c r="Z19" s="94"/>
    </row>
    <row r="20">
      <c r="A20" s="193" t="s">
        <v>86</v>
      </c>
      <c r="B20" s="194">
        <f>'Copy of DETERMINING MAX WEEK'!E31</f>
        <v>245</v>
      </c>
      <c r="C20" s="11"/>
      <c r="D20" s="11"/>
      <c r="E20" s="11"/>
      <c r="F20" s="86"/>
      <c r="G20" s="94"/>
      <c r="H20" s="193" t="s">
        <v>86</v>
      </c>
      <c r="I20" s="194">
        <v>120.0</v>
      </c>
      <c r="J20" s="11"/>
      <c r="K20" s="11"/>
      <c r="L20" s="11"/>
      <c r="M20" s="86"/>
      <c r="N20" s="94"/>
      <c r="O20" s="195" t="s">
        <v>86</v>
      </c>
      <c r="P20" s="196">
        <v>75.0</v>
      </c>
      <c r="Q20" s="7"/>
      <c r="R20" s="7"/>
      <c r="S20" s="7"/>
      <c r="T20" s="197"/>
      <c r="U20" s="94"/>
      <c r="V20" s="94"/>
      <c r="W20" s="94"/>
      <c r="X20" s="94"/>
      <c r="Y20" s="94"/>
      <c r="Z20" s="94"/>
    </row>
    <row r="21">
      <c r="A21" s="198" t="s">
        <v>18</v>
      </c>
      <c r="B21" s="199" t="s">
        <v>19</v>
      </c>
      <c r="C21" s="199" t="s">
        <v>20</v>
      </c>
      <c r="D21" s="199" t="s">
        <v>21</v>
      </c>
      <c r="E21" s="200" t="s">
        <v>22</v>
      </c>
      <c r="F21" s="52" t="s">
        <v>23</v>
      </c>
      <c r="G21" s="201"/>
      <c r="H21" s="198" t="s">
        <v>18</v>
      </c>
      <c r="I21" s="199" t="s">
        <v>19</v>
      </c>
      <c r="J21" s="199" t="s">
        <v>20</v>
      </c>
      <c r="K21" s="199" t="s">
        <v>21</v>
      </c>
      <c r="L21" s="200" t="s">
        <v>22</v>
      </c>
      <c r="M21" s="52" t="s">
        <v>23</v>
      </c>
      <c r="N21" s="201"/>
      <c r="O21" s="87" t="s">
        <v>18</v>
      </c>
      <c r="P21" s="88" t="s">
        <v>19</v>
      </c>
      <c r="Q21" s="88" t="s">
        <v>20</v>
      </c>
      <c r="R21" s="88" t="s">
        <v>21</v>
      </c>
      <c r="S21" s="89" t="s">
        <v>22</v>
      </c>
      <c r="T21" s="202" t="s">
        <v>23</v>
      </c>
      <c r="U21" s="201"/>
      <c r="V21" s="201"/>
      <c r="W21" s="201"/>
      <c r="X21" s="201"/>
      <c r="Y21" s="201"/>
      <c r="Z21" s="201"/>
    </row>
    <row r="22">
      <c r="A22" s="203">
        <v>1.0</v>
      </c>
      <c r="B22" s="204" t="str">
        <f>IF( 'WEEK 1 '!B20&lt;125,45,mround('WEEK 1 '!B20*0.35,5))</f>
        <v>#REF!</v>
      </c>
      <c r="C22" s="204">
        <v>6.0</v>
      </c>
      <c r="D22" s="205" t="s">
        <v>87</v>
      </c>
      <c r="E22" s="57"/>
      <c r="F22" s="58"/>
      <c r="G22" s="206"/>
      <c r="H22" s="203">
        <v>1.0</v>
      </c>
      <c r="I22" s="204" t="str">
        <f>mround('WEEK 1 '!I20*0.35,5)</f>
        <v>#REF!</v>
      </c>
      <c r="J22" s="204">
        <v>6.0</v>
      </c>
      <c r="K22" s="205" t="s">
        <v>87</v>
      </c>
      <c r="L22" s="57"/>
      <c r="M22" s="58"/>
      <c r="N22" s="206"/>
      <c r="O22" s="207">
        <v>1.0</v>
      </c>
      <c r="P22" s="208" t="str">
        <f>mround('WEEK 1 '!P20*0.35,5)</f>
        <v>#REF!</v>
      </c>
      <c r="Q22" s="208">
        <v>6.0</v>
      </c>
      <c r="R22" s="74" t="s">
        <v>25</v>
      </c>
      <c r="S22" s="75"/>
      <c r="T22" s="76"/>
      <c r="U22" s="206"/>
      <c r="V22" s="206"/>
      <c r="W22" s="206"/>
      <c r="X22" s="206"/>
      <c r="Y22" s="206"/>
      <c r="Z22" s="206"/>
    </row>
    <row r="23">
      <c r="A23" s="203">
        <v>2.0</v>
      </c>
      <c r="B23" s="204" t="str">
        <f>MROUND('WEEK 1 '!B20*0.8,5)</f>
        <v>#REF!</v>
      </c>
      <c r="C23" s="204">
        <v>1.0</v>
      </c>
      <c r="D23" s="205" t="s">
        <v>88</v>
      </c>
      <c r="E23" s="57"/>
      <c r="F23" s="58"/>
      <c r="G23" s="206"/>
      <c r="H23" s="203">
        <v>2.0</v>
      </c>
      <c r="I23" s="204" t="str">
        <f>mround('WEEK 1 '!I20*0.65,5)</f>
        <v>#REF!</v>
      </c>
      <c r="J23" s="204">
        <v>1.0</v>
      </c>
      <c r="K23" s="205" t="s">
        <v>88</v>
      </c>
      <c r="L23" s="57"/>
      <c r="M23" s="58"/>
      <c r="N23" s="206"/>
      <c r="O23" s="207">
        <v>2.0</v>
      </c>
      <c r="P23" s="208" t="str">
        <f>mround('WEEK 1 '!P20*0.65,5)</f>
        <v>#REF!</v>
      </c>
      <c r="Q23" s="208">
        <v>1.0</v>
      </c>
      <c r="R23" s="74" t="s">
        <v>25</v>
      </c>
      <c r="S23" s="75"/>
      <c r="T23" s="76"/>
      <c r="U23" s="206"/>
      <c r="V23" s="206"/>
      <c r="W23" s="206"/>
      <c r="X23" s="206"/>
      <c r="Y23" s="206"/>
      <c r="Z23" s="206"/>
    </row>
    <row r="24">
      <c r="A24" s="209">
        <v>3.0</v>
      </c>
      <c r="B24" s="204" t="str">
        <f>mround('WEEK 1 '!B20*0.9,5)</f>
        <v>#REF!</v>
      </c>
      <c r="C24" s="73">
        <v>1.0</v>
      </c>
      <c r="D24" s="205" t="s">
        <v>88</v>
      </c>
      <c r="E24" s="57"/>
      <c r="F24" s="58"/>
      <c r="G24" s="206"/>
      <c r="H24" s="209">
        <v>3.0</v>
      </c>
      <c r="I24" s="204" t="str">
        <f>mround('WEEK 1 '!I20*0.9,5)</f>
        <v>#REF!</v>
      </c>
      <c r="J24" s="73">
        <v>1.0</v>
      </c>
      <c r="K24" s="205" t="s">
        <v>88</v>
      </c>
      <c r="L24" s="57"/>
      <c r="M24" s="58"/>
      <c r="N24" s="206"/>
      <c r="O24" s="207">
        <v>3.0</v>
      </c>
      <c r="P24" s="208" t="str">
        <f>mround('WEEK 1 '!P20*0.85,5)</f>
        <v>#REF!</v>
      </c>
      <c r="Q24" s="54">
        <v>1.0</v>
      </c>
      <c r="R24" s="74" t="s">
        <v>25</v>
      </c>
      <c r="S24" s="75"/>
      <c r="T24" s="76"/>
      <c r="U24" s="206"/>
      <c r="V24" s="206">
        <f>90*0.93</f>
        <v>83.7</v>
      </c>
      <c r="W24" s="206"/>
      <c r="X24" s="206"/>
      <c r="Y24" s="206"/>
      <c r="Z24" s="206"/>
    </row>
    <row r="25">
      <c r="A25" s="210">
        <v>4.0</v>
      </c>
      <c r="B25" s="204" t="str">
        <f>'WEEK 1 '!B20</f>
        <v>#REF!</v>
      </c>
      <c r="C25" s="142">
        <v>1.0</v>
      </c>
      <c r="D25" s="205" t="s">
        <v>89</v>
      </c>
      <c r="E25" s="57"/>
      <c r="F25" s="58"/>
      <c r="G25" s="206"/>
      <c r="H25" s="210">
        <v>4.0</v>
      </c>
      <c r="I25" s="204" t="str">
        <f>'WEEK 1 '!I20</f>
        <v>#REF!</v>
      </c>
      <c r="J25" s="142">
        <v>1.0</v>
      </c>
      <c r="K25" s="205" t="s">
        <v>89</v>
      </c>
      <c r="L25" s="57"/>
      <c r="M25" s="58"/>
      <c r="N25" s="206"/>
      <c r="O25" s="211">
        <v>4.0</v>
      </c>
      <c r="P25" s="208" t="str">
        <f>mround('WEEK 1 '!P20*1,5)</f>
        <v>#REF!</v>
      </c>
      <c r="Q25" s="212" t="s">
        <v>33</v>
      </c>
      <c r="R25" s="74" t="s">
        <v>25</v>
      </c>
      <c r="S25" s="75"/>
      <c r="T25" s="76"/>
      <c r="U25" s="206"/>
      <c r="V25" s="206"/>
      <c r="W25" s="206"/>
      <c r="X25" s="206"/>
      <c r="Y25" s="206"/>
      <c r="Z25" s="206"/>
    </row>
    <row r="26">
      <c r="A26" s="213" t="str">
        <f>IF('WEEK 1 '!F25&lt;1,"PROCEED TO DOWN SETS","NEW 1 REP MAX ATTEMPT")</f>
        <v>#REF!</v>
      </c>
      <c r="B26" s="11"/>
      <c r="C26" s="11"/>
      <c r="D26" s="11"/>
      <c r="E26" s="11"/>
      <c r="F26" s="86"/>
      <c r="G26" s="214" t="s">
        <v>90</v>
      </c>
      <c r="H26" s="213" t="str">
        <f>IF('WEEK 1 '!M25&lt;1,"PROCEED TO DOWN SETS","NEW 1 REP MAX ATTEMPT")</f>
        <v>#REF!</v>
      </c>
      <c r="I26" s="11"/>
      <c r="J26" s="11"/>
      <c r="K26" s="11"/>
      <c r="L26" s="11"/>
      <c r="M26" s="86"/>
      <c r="N26" s="214" t="s">
        <v>90</v>
      </c>
      <c r="O26" s="215" t="str">
        <f>IF(OR(ISBLANK('WEEK 1 '!T25),ISBLANK('WEEK 1 '!T24),ISBLANK('WEEK 1 '!T23)),"PROCEED TO DOWNSETS",if('WEEK 1 '!T25&gt;=6,"NEW 4 REP MAX ATTEMPT","PROCEED TO DOWN SETS"))</f>
        <v>#REF!</v>
      </c>
      <c r="T26" s="19"/>
      <c r="U26" s="201"/>
      <c r="V26" s="201"/>
      <c r="W26" s="201"/>
      <c r="X26" s="201"/>
      <c r="Y26" s="201"/>
      <c r="Z26" s="201"/>
    </row>
    <row r="27">
      <c r="A27" s="216" t="str">
        <f>if('WEEK 1 '!F25&lt;1,"",5)</f>
        <v>#REF!</v>
      </c>
      <c r="B27" s="142" t="str">
        <f>IF('WEEK 1 '!F25&lt;1,"",B25+5)</f>
        <v>#REF!</v>
      </c>
      <c r="C27" s="205" t="str">
        <f>if('WEEK 1 '!F25&lt;1,"",1)</f>
        <v>#REF!</v>
      </c>
      <c r="D27" s="205" t="str">
        <f>if('WEEK 1 '!F25&lt;1,"","1-5 MIN")</f>
        <v>#REF!</v>
      </c>
      <c r="E27" s="217"/>
      <c r="F27" s="58"/>
      <c r="H27" s="216" t="str">
        <f>if('WEEK 1 '!M25&lt;1,"",5)</f>
        <v>#REF!</v>
      </c>
      <c r="I27" s="142" t="str">
        <f>IF('WEEK 1 '!M25&lt;1,"",I25+5)</f>
        <v>#REF!</v>
      </c>
      <c r="J27" s="205" t="str">
        <f>if('WEEK 1 '!M25&lt;1,"",1)</f>
        <v>#REF!</v>
      </c>
      <c r="K27" s="205" t="str">
        <f>if('WEEK 1 '!M25&lt;1,"","1-5 MIN")</f>
        <v>#REF!</v>
      </c>
      <c r="L27" s="217"/>
      <c r="M27" s="58"/>
      <c r="O27" s="218" t="str">
        <f>IF(OR(ISBLANK('WEEK 1 '!T25),ISBLANK('WEEK 1 '!T24),ISBLANK('WEEK 1 '!T23)),"",IF('WEEK 1 '!T25&gt;=6,5,""))</f>
        <v>#REF!</v>
      </c>
      <c r="P27" s="219" t="str">
        <f>IF(OR(ISBLANK('WEEK 1 '!T25),ISBLANK('WEEK 1 '!T24),ISBLANK('WEEK 1 '!T23)),"",IF('WEEK 1 '!T25&gt;=6,'WEEK 1 '!P20+5,""))</f>
        <v>#REF!</v>
      </c>
      <c r="Q27" s="220" t="str">
        <f>IF(OR(ISBLANK('WEEK 1 '!T25),ISBLANK('WEEK 1 '!T24),ISBLANK('WEEK 1 '!T23)),"",IF('WEEK 1 '!T25&gt;=6,"REP OUT",""))</f>
        <v>#REF!</v>
      </c>
      <c r="R27" s="221" t="str">
        <f>IF(OR(ISBLANK('WEEK 1 '!T25),ISBLANK('WEEK 1 '!T24),ISBLANK('WEEK 1 '!T23)),"",IF('WEEK 1 '!T25&gt;5,"1 MIN",""))</f>
        <v>#REF!</v>
      </c>
      <c r="S27" s="222"/>
      <c r="T27" s="58"/>
      <c r="U27" s="206"/>
      <c r="V27" s="206"/>
      <c r="W27" s="206"/>
      <c r="X27" s="206"/>
      <c r="Y27" s="206"/>
      <c r="Z27" s="206"/>
    </row>
    <row r="28">
      <c r="A28" s="223" t="str">
        <f>IF('WEEK 1 '!F27&lt;1,"","6")</f>
        <v>#REF!</v>
      </c>
      <c r="B28" s="204" t="str">
        <f>IF('WEEK 1 '!F27&lt;1,"",B27+5)</f>
        <v>#REF!</v>
      </c>
      <c r="C28" s="224" t="str">
        <f>IF('WEEK 1 '!F27&lt;1,"","1")</f>
        <v>#REF!</v>
      </c>
      <c r="D28" s="224" t="str">
        <f>IF('WEEK 1 '!F27&lt;1,"","1-5 MIN")</f>
        <v>#REF!</v>
      </c>
      <c r="E28" s="225"/>
      <c r="F28" s="58"/>
      <c r="G28" s="201"/>
      <c r="H28" s="226" t="str">
        <f>IF('WEEK 1 '!M27&lt;1,"","6")</f>
        <v>#REF!</v>
      </c>
      <c r="I28" s="204" t="str">
        <f>IF('WEEK 1 '!M27&lt;1,"",I27+5)</f>
        <v>#REF!</v>
      </c>
      <c r="J28" s="224" t="str">
        <f>IF('WEEK 1 '!M27&lt;1,"","1")</f>
        <v>#REF!</v>
      </c>
      <c r="K28" s="224" t="str">
        <f>IF('WEEK 1 '!M27&lt;1,"","1-5 MIN")</f>
        <v>#REF!</v>
      </c>
      <c r="L28" s="225"/>
      <c r="M28" s="58"/>
      <c r="N28" s="201"/>
      <c r="O28" s="227" t="str">
        <f>IF(OR(ISBLANK('WEEK 1 '!T25),ISBLANK('WEEK 1 '!T24),ISBLANK('WEEK 1 '!T23)),"FILL OUT REP LOG FIRST","DOWN SETS")</f>
        <v>DOWN SETS</v>
      </c>
      <c r="P28" s="7"/>
      <c r="Q28" s="7"/>
      <c r="R28" s="7"/>
      <c r="S28" s="7"/>
      <c r="T28" s="197"/>
      <c r="U28" s="201"/>
      <c r="V28" s="201"/>
      <c r="W28" s="201"/>
      <c r="X28" s="201"/>
      <c r="Y28" s="201"/>
      <c r="Z28" s="201"/>
    </row>
    <row r="29">
      <c r="A29" s="213" t="str">
        <f>IF(OR(ISBLANK('WEEK 1 '!F25),ISBLANK('WEEK 1 '!F24),ISBLANK('WEEK 1 '!F23)),"FILL OUT REP LOG FOR DOWN SETS","DOWN SETS")</f>
        <v>DOWN SETS</v>
      </c>
      <c r="B29" s="11"/>
      <c r="C29" s="11"/>
      <c r="D29" s="11"/>
      <c r="E29" s="11"/>
      <c r="F29" s="86"/>
      <c r="G29" s="206"/>
      <c r="H29" s="213" t="str">
        <f>IF(OR(ISBLANK('WEEK 1 '!M25),ISBLANK('WEEK 1 '!M24),ISBLANK('WEEK 1 '!M23)),"FILL OUT REP LOG FOR DOWN SETS","DOWN SETS")</f>
        <v>DOWN SETS</v>
      </c>
      <c r="I29" s="11"/>
      <c r="J29" s="11"/>
      <c r="K29" s="11"/>
      <c r="L29" s="11"/>
      <c r="M29" s="86"/>
      <c r="N29" s="206"/>
      <c r="O29" s="82" t="str">
        <f>IF('WEEK 1 '!T27&gt;=4,"",IF(OR(ISBLANK('WEEK 1 '!T25),ISBLANK('WEEK 1 '!T24),ISBLANK('WEEK 1 '!T23)),"",IF('WEEK 1 '!T25&gt;5,6,5)))</f>
        <v>#REF!</v>
      </c>
      <c r="P29" s="228" t="str">
        <f>IF('WEEK 1 '!T27&gt;=4,"",IF(OR(ISBLANK('WEEK 1 '!T25),ISBLANK('WEEK 1 '!T24),ISBLANK('WEEK 1 '!T23)),"",IF('WEEK 1 '!T25&lt;6,mround('WEEK 1 '!P20*0.8,5),IF('WEEK 1 '!T25&lt;10,mround('WEEK 1 '!P20*0.93,5),mround('WEEK 1 '!P20*0.7,5)))))</f>
        <v>#REF!</v>
      </c>
      <c r="Q29" s="229" t="str">
        <f>IF('WEEK 1 '!T27&gt;=4,"",IF(OR(ISBLANK('WEEK 1 '!T25),ISBLANK('WEEK 1 '!T24),ISBLANK('WEEK 1 '!T23)),"","REP OUT"))</f>
        <v>#REF!</v>
      </c>
      <c r="R29" s="56" t="str">
        <f>IF('WEEK 1 '!T27&gt;=4,"",IF(OR(ISBLANK('WEEK 1 '!T25),ISBLANK('WEEK 1 '!T24),ISBLANK('WEEK 1 '!T23)),"","1 MIN"))</f>
        <v>#REF!</v>
      </c>
      <c r="S29" s="222"/>
      <c r="T29" s="230"/>
      <c r="U29" s="206"/>
      <c r="V29" s="206">
        <f>0.7*85</f>
        <v>59.5</v>
      </c>
      <c r="W29" s="206"/>
      <c r="X29" s="206"/>
      <c r="Y29" s="206"/>
      <c r="Z29" s="206"/>
    </row>
    <row r="30">
      <c r="A30" s="231" t="str">
        <f>IF(OR(ISBLANK('WEEK 1 '!F25),ISBLANK('WEEK 1 '!F24),ISBLANK('WEEK 1 '!F23)),"",IF((AND(A27="",A28="")),5,IF((AND(A27&gt;1,A28="")),6,7)))</f>
        <v>#REF!</v>
      </c>
      <c r="B30" s="232" t="str">
        <f>IF(OR(ISBLANK('WEEK 1 '!F25),ISBLANK('WEEK 1 '!F24),ISBLANK('WEEK 1 '!F23)),"",MROUND('WEEK 1 '!B32*0.9,5))</f>
        <v>#REF!</v>
      </c>
      <c r="C30" s="233" t="str">
        <f>IF(OR(ISBLANK('WEEK 1 '!F25),ISBLANK('WEEK 1 '!F24),ISBLANK('WEEK 1 '!F23)),"","REP OUT")</f>
        <v>REP OUT</v>
      </c>
      <c r="D30" s="234" t="str">
        <f>IF(OR(ISBLANK('WEEK 1 '!F25),ISBLANK('WEEK 1 '!F24),ISBLANK('WEEK 1 '!F23)),"","1-3 MIN")</f>
        <v>1-3 MIN</v>
      </c>
      <c r="E30" s="235"/>
      <c r="F30" s="58"/>
      <c r="G30" s="206"/>
      <c r="H30" s="231" t="str">
        <f>IF(OR(ISBLANK('WEEK 1 '!M25),ISBLANK('WEEK 1 '!M24),ISBLANK('WEEK 1 '!M23)),"",IF((AND(H27="",H28="")),5,IF((AND(H27&gt;1,H28="")),6,7)))</f>
        <v>#REF!</v>
      </c>
      <c r="I30" s="232" t="str">
        <f>IF(OR(ISBLANK('WEEK 1 '!M25),ISBLANK('WEEK 1 '!M24),ISBLANK('WEEK 1 '!M23)),"",MROUND('WEEK 1 '!I32*0.9,5))</f>
        <v>#REF!</v>
      </c>
      <c r="J30" s="233" t="str">
        <f>IF(OR(ISBLANK('WEEK 1 '!M25),ISBLANK('WEEK 1 '!M24),ISBLANK('WEEK 1 '!M23)),"","REP OUT")</f>
        <v>REP OUT</v>
      </c>
      <c r="K30" s="234" t="str">
        <f>IF(OR(ISBLANK('WEEK 1 '!M25),ISBLANK('WEEK 1 '!M24),ISBLANK('WEEK 1 '!M23)),"","1-3 MIN")</f>
        <v>1-3 MIN</v>
      </c>
      <c r="L30" s="235"/>
      <c r="M30" s="58"/>
      <c r="N30" s="206"/>
      <c r="O30" s="236" t="str">
        <f>IF('WEEK 1 '!T27&gt;=4,"",IF(OR(ISBLANK('WEEK 1 '!T25),ISBLANK('WEEK 1 '!T24),ISBLANK('WEEK 1 '!T23)),"",IF('WEEK 1 '!T25&gt;5,7,6)))</f>
        <v>#REF!</v>
      </c>
      <c r="P30" s="221" t="str">
        <f>IF('WEEK 1 '!T27&gt;=4,"",IF(OR(ISBLANK('WEEK 1 '!T25),ISBLANK('WEEK 1 '!T24),ISBLANK('WEEK 1 '!T23)),"",IF('WEEK 1 '!T25&lt;6,mround('WEEK 1 '!P20*0.65,5),IF('WEEK 1 '!T25&lt;10,mround('WEEK 1 '!P20*0.7,5),mround('WEEK 1 '!P20*0.65,5)))))</f>
        <v>#REF!</v>
      </c>
      <c r="Q30" s="220" t="str">
        <f>IF('WEEK 1 '!T27&gt;=4,"",IF(OR(ISBLANK('WEEK 1 '!T25),ISBLANK('WEEK 1 '!T24),ISBLANK('WEEK 1 '!T23)),"","REP OUT"))</f>
        <v>#REF!</v>
      </c>
      <c r="R30" s="56" t="str">
        <f>IF('WEEK 1 '!T27&gt;=4,"",IF(OR(ISBLANK('WEEK 1 '!T25),ISBLANK('WEEK 1 '!T24),ISBLANK('WEEK 1 '!T23)),"","1 MIN"))</f>
        <v>#REF!</v>
      </c>
      <c r="S30" s="222"/>
      <c r="T30" s="237"/>
      <c r="U30" s="206"/>
      <c r="V30" s="206"/>
      <c r="W30" s="206"/>
      <c r="X30" s="206"/>
      <c r="Y30" s="206"/>
      <c r="Z30" s="206"/>
    </row>
    <row r="31">
      <c r="A31" s="210" t="str">
        <f>IF(OR(ISBLANK('WEEK 1 '!F25),ISBLANK('WEEK 1 '!F24),ISBLANK('WEEK 1 '!F23)),"",IF((AND(A27="",A28="")),6,IF((AND(A27&gt;1,A28="")),7,8)))</f>
        <v>#REF!</v>
      </c>
      <c r="B31" s="204" t="str">
        <f>IF(OR(ISBLANK('WEEK 1 '!F25),ISBLANK('WEEK 1 '!F24),ISBLANK('WEEK 1 '!F23)),"",mround('WEEK 1 '!B32*0.78,5))</f>
        <v>#REF!</v>
      </c>
      <c r="C31" s="212" t="str">
        <f>IF(OR(ISBLANK('WEEK 1 '!F25),ISBLANK('WEEK 1 '!F24),ISBLANK('WEEK 1 '!F23)),"","REP OUT")</f>
        <v>REP OUT</v>
      </c>
      <c r="D31" s="56" t="str">
        <f>IF(OR(ISBLANK('WEEK 1 '!F25),ISBLANK('WEEK 1 '!F24),ISBLANK('WEEK 1 '!F23)),"","1-3 MIN")</f>
        <v>1-3 MIN</v>
      </c>
      <c r="E31" s="225"/>
      <c r="F31" s="238"/>
      <c r="G31" s="94"/>
      <c r="H31" s="210" t="str">
        <f>IF(OR(ISBLANK('WEEK 1 '!M25),ISBLANK('WEEK 1 '!M24),ISBLANK('WEEK 1 '!M23)),"",IF((AND(H27="",H28="")),6,IF((AND(H27&gt;1,H28="")),7,8)))</f>
        <v>#REF!</v>
      </c>
      <c r="I31" s="204" t="str">
        <f>IF(OR(ISBLANK('WEEK 1 '!M25),ISBLANK('WEEK 1 '!M24),ISBLANK('WEEK 1 '!M23)),"",mround('WEEK 1 '!I32*0.78,5))</f>
        <v>#REF!</v>
      </c>
      <c r="J31" s="212" t="str">
        <f>IF(OR(ISBLANK('WEEK 1 '!M25),ISBLANK('WEEK 1 '!M24),ISBLANK('WEEK 1 '!M23)),"","REP OUT")</f>
        <v>REP OUT</v>
      </c>
      <c r="K31" s="56" t="str">
        <f>IF(OR(ISBLANK('WEEK 1 '!M25),ISBLANK('WEEK 1 '!M24),ISBLANK('WEEK 1 '!M23)),"","1-3 MIN")</f>
        <v>1-3 MIN</v>
      </c>
      <c r="L31" s="225"/>
      <c r="M31" s="238"/>
      <c r="N31" s="94"/>
      <c r="O31" s="236" t="str">
        <f>IF('WEEK 1 '!T27&lt;4,"",IF(OR(ISBLANK('WEEK 1 '!T25),ISBLANK('WEEK 1 '!T24),ISBLANK('WEEK 1 '!T23)),"",IF('WEEK 1 '!T27&gt;3,6,5)))</f>
        <v>#REF!</v>
      </c>
      <c r="P31" s="221" t="str">
        <f>IF('WEEK 1 '!T27&lt;4,"",IF(OR(ISBLANK('WEEK 1 '!T25),ISBLANK('WEEK 1 '!T24),ISBLANK('WEEK 1 '!T23)),"",IF('WEEK 1 '!T27&lt;6,mround('WEEK 1 '!P33*0.8,5),IF('WEEK 1 '!T27&lt;10,mround('WEEK 1 '!P33*0.93,5),mround('WEEK 1 '!P33*0.7,5)))))</f>
        <v>#REF!</v>
      </c>
      <c r="Q31" s="220" t="str">
        <f>IF('WEEK 1 '!T27&lt;4,"",IF(OR(ISBLANK('WEEK 1 '!T25),ISBLANK('WEEK 1 '!T24),ISBLANK('WEEK 1 '!T23)),"","REP OUT"))</f>
        <v>#REF!</v>
      </c>
      <c r="R31" s="56" t="str">
        <f>IF('WEEK 1 '!T27&lt;4,"",IF(OR(ISBLANK('WEEK 1 '!T25),ISBLANK('WEEK 1 '!T24),ISBLANK('WEEK 1 '!T23)),"","1 MIN"))</f>
        <v>#REF!</v>
      </c>
      <c r="S31" s="222"/>
      <c r="T31" s="237"/>
      <c r="U31" s="94"/>
      <c r="V31" s="94"/>
      <c r="W31" s="94"/>
      <c r="X31" s="94"/>
      <c r="Y31" s="94"/>
      <c r="Z31" s="94"/>
    </row>
    <row r="32">
      <c r="A32" s="239" t="s">
        <v>91</v>
      </c>
      <c r="B32" s="240" t="str">
        <f>IF(OR(ISBLANK('WEEK 1 '!F25),ISBLANK('WEEK 1 '!F24),ISBLANK('WEEK 1 '!F23)),"",IF('WEEK 1 '!F28&gt;=1,'WEEK 1 '!B28,IF('WEEK 1 '!F27&gt;=1,'WEEK 1 '!B27,IF('WEEK 1 '!F25&lt;1,'WEEK 1 '!B25-5,'WEEK 1 '!B25))))</f>
        <v>#REF!</v>
      </c>
      <c r="C32" s="2"/>
      <c r="D32" s="2"/>
      <c r="E32" s="2"/>
      <c r="F32" s="37"/>
      <c r="G32" s="94"/>
      <c r="H32" s="239" t="s">
        <v>91</v>
      </c>
      <c r="I32" s="240" t="str">
        <f>IF(OR(ISBLANK('WEEK 1 '!M25),ISBLANK('WEEK 1 '!M24),ISBLANK('WEEK 1 '!M23)),"",IF('WEEK 1 '!M28&gt;=1,'WEEK 1 '!I28,IF('WEEK 1 '!M27&gt;=1,'WEEK 1 '!I27,IF('WEEK 1 '!M25&lt;1,'WEEK 1 '!I25-5,'WEEK 1 '!I25))))</f>
        <v>#REF!</v>
      </c>
      <c r="J32" s="2"/>
      <c r="K32" s="2"/>
      <c r="L32" s="2"/>
      <c r="M32" s="37"/>
      <c r="N32" s="94"/>
      <c r="O32" s="236" t="str">
        <f>IF('WEEK 1 '!T27&lt;4,"",IF(OR(ISBLANK('WEEK 1 '!T25),ISBLANK('WEEK 1 '!T24),ISBLANK('WEEK 1 '!T23)),"",IF('WEEK 1 '!T27&gt;3,7,"")))</f>
        <v>#REF!</v>
      </c>
      <c r="P32" s="221" t="str">
        <f>IF('WEEK 1 '!T27&lt;4,"",IF(OR(ISBLANK('WEEK 1 '!T25),ISBLANK('WEEK 1 '!T24),ISBLANK('WEEK 1 '!T23)),"",IF('WEEK 1 '!T27&lt;6,mround('WEEK 1 '!P33*0.65,5),IF('WEEK 1 '!T27&lt;10,mround('WEEK 1 '!P33*0.7,5),mround('WEEK 1 '!P33*0.65,5)))))</f>
        <v>#REF!</v>
      </c>
      <c r="Q32" s="220" t="str">
        <f>IF('WEEK 1 '!T27&lt;4,"",IF(OR(ISBLANK('WEEK 1 '!T25),ISBLANK('WEEK 1 '!T24),ISBLANK('WEEK 1 '!T23)),"","REP OUT"))</f>
        <v>#REF!</v>
      </c>
      <c r="R32" s="56" t="str">
        <f>IF('WEEK 1 '!T27&lt;4,"",IF(OR(ISBLANK('WEEK 1 '!T25),ISBLANK('WEEK 1 '!T24),ISBLANK('WEEK 1 '!T23)),"","1 MIN"))</f>
        <v>#REF!</v>
      </c>
      <c r="S32" s="222"/>
      <c r="T32" s="237"/>
      <c r="U32" s="94"/>
      <c r="V32" s="94"/>
      <c r="W32" s="94"/>
      <c r="X32" s="94"/>
      <c r="Y32" s="94"/>
      <c r="Z32" s="94"/>
    </row>
    <row r="33">
      <c r="A33" s="241"/>
      <c r="B33" s="242"/>
      <c r="C33" s="243"/>
      <c r="D33" s="244"/>
      <c r="E33" s="245"/>
      <c r="F33" s="94"/>
      <c r="G33" s="94"/>
      <c r="H33" s="187"/>
      <c r="I33" s="187"/>
      <c r="J33" s="187"/>
      <c r="K33" s="187"/>
      <c r="L33" s="246"/>
      <c r="M33" s="94"/>
      <c r="N33" s="94"/>
      <c r="O33" s="247" t="s">
        <v>91</v>
      </c>
      <c r="P33" s="240" t="str">
        <f>IF(OR(ISBLANK('WEEK 1 '!T23),ISBLANK('WEEK 1 '!T24),ISBLANK('WEEK 1 '!T25)),"",IF('WEEK 1 '!T27&gt;=4,'WEEK 1 '!P27,IF('WEEK 1 '!T25&lt;=3,'WEEK 1 '!P25-5,'WEEK 1 '!P25)))</f>
        <v>#REF!</v>
      </c>
      <c r="Q33" s="2"/>
      <c r="R33" s="2"/>
      <c r="S33" s="2"/>
      <c r="T33" s="37"/>
      <c r="U33" s="94"/>
      <c r="V33" s="94"/>
      <c r="W33" s="94"/>
      <c r="X33" s="94"/>
      <c r="Y33" s="94"/>
      <c r="Z33" s="94"/>
    </row>
    <row r="34">
      <c r="A34" s="64" t="str">
        <f>IF(B35&lt;5,"SKIP TO NEXT WORKOUT",HYPERLINK("https://www.youtube.com/watch?v=mGv8D2DGyNQ","2.DB CHEST FLY"))</f>
        <v>2.DB CHEST FLY</v>
      </c>
      <c r="B34" s="44"/>
      <c r="C34" s="44"/>
      <c r="D34" s="44"/>
      <c r="E34" s="44"/>
      <c r="F34" s="45"/>
      <c r="G34" s="248"/>
      <c r="H34" s="64" t="str">
        <f>HYPERLINK("https://www.youtube.com/watch?v=THb0dhfIu1k","2. MACHINE CHEST FLY")</f>
        <v>2. MACHINE CHEST FLY</v>
      </c>
      <c r="I34" s="44"/>
      <c r="J34" s="44"/>
      <c r="K34" s="44"/>
      <c r="L34" s="44"/>
      <c r="M34" s="45"/>
      <c r="N34" s="248"/>
      <c r="O34" s="94"/>
      <c r="P34" s="94"/>
      <c r="Q34" s="94"/>
      <c r="R34" s="94"/>
      <c r="S34" s="94"/>
      <c r="T34" s="94"/>
      <c r="U34" s="94"/>
      <c r="V34" s="94"/>
      <c r="W34" s="94"/>
      <c r="X34" s="94"/>
      <c r="Y34" s="94"/>
      <c r="Z34" s="94"/>
    </row>
    <row r="35">
      <c r="A35" s="249" t="s">
        <v>92</v>
      </c>
      <c r="B35" s="250">
        <v>30.0</v>
      </c>
      <c r="F35" s="19"/>
      <c r="G35" s="214" t="s">
        <v>90</v>
      </c>
      <c r="H35" s="249" t="s">
        <v>92</v>
      </c>
      <c r="I35" s="251" t="str">
        <f>'WEEK 1 '!B35</f>
        <v>#REF!</v>
      </c>
      <c r="J35" s="11"/>
      <c r="K35" s="11"/>
      <c r="L35" s="11"/>
      <c r="M35" s="86"/>
      <c r="N35" s="94"/>
      <c r="O35" s="94"/>
      <c r="P35" s="94"/>
      <c r="Q35" s="94"/>
      <c r="R35" s="94"/>
      <c r="S35" s="94"/>
      <c r="T35" s="94"/>
      <c r="U35" s="94"/>
      <c r="V35" s="94"/>
      <c r="W35" s="94"/>
      <c r="X35" s="94"/>
      <c r="Y35" s="94"/>
      <c r="Z35" s="94"/>
    </row>
    <row r="36">
      <c r="A36" s="198" t="s">
        <v>18</v>
      </c>
      <c r="B36" s="199" t="s">
        <v>19</v>
      </c>
      <c r="C36" s="199" t="s">
        <v>20</v>
      </c>
      <c r="D36" s="199" t="s">
        <v>21</v>
      </c>
      <c r="E36" s="252" t="s">
        <v>22</v>
      </c>
      <c r="F36" s="253" t="s">
        <v>23</v>
      </c>
      <c r="H36" s="198" t="s">
        <v>18</v>
      </c>
      <c r="I36" s="199" t="s">
        <v>19</v>
      </c>
      <c r="J36" s="199" t="s">
        <v>20</v>
      </c>
      <c r="K36" s="199" t="s">
        <v>21</v>
      </c>
      <c r="L36" s="252" t="s">
        <v>22</v>
      </c>
      <c r="M36" s="52" t="s">
        <v>23</v>
      </c>
      <c r="N36" s="254"/>
      <c r="O36" s="254"/>
      <c r="P36" s="254"/>
      <c r="Q36" s="254"/>
      <c r="R36" s="254"/>
      <c r="S36" s="254"/>
      <c r="T36" s="254"/>
      <c r="U36" s="254"/>
      <c r="V36" s="254"/>
      <c r="W36" s="254"/>
      <c r="X36" s="254"/>
      <c r="Y36" s="254"/>
      <c r="Z36" s="254"/>
    </row>
    <row r="37">
      <c r="A37" s="209">
        <v>1.0</v>
      </c>
      <c r="B37" s="73">
        <f>mround(B35*0.29,2.5)</f>
        <v>7.5</v>
      </c>
      <c r="C37" s="73">
        <v>15.0</v>
      </c>
      <c r="D37" s="255" t="s">
        <v>93</v>
      </c>
      <c r="E37" s="57"/>
      <c r="F37" s="58"/>
      <c r="G37" s="201"/>
      <c r="H37" s="209">
        <v>1.0</v>
      </c>
      <c r="I37" s="204" t="str">
        <f>mround('WEEK 1 '!I35*2*0.75,10)</f>
        <v>#REF!</v>
      </c>
      <c r="J37" s="73">
        <v>15.0</v>
      </c>
      <c r="K37" s="255" t="s">
        <v>93</v>
      </c>
      <c r="L37" s="57"/>
      <c r="M37" s="58"/>
      <c r="N37" s="201"/>
      <c r="O37" s="201"/>
      <c r="P37" s="201"/>
      <c r="Q37" s="201"/>
      <c r="R37" s="201"/>
      <c r="S37" s="201"/>
      <c r="T37" s="201"/>
      <c r="U37" s="201"/>
      <c r="V37" s="201"/>
      <c r="W37" s="201"/>
      <c r="X37" s="201"/>
      <c r="Y37" s="201"/>
      <c r="Z37" s="201"/>
    </row>
    <row r="38">
      <c r="A38" s="256">
        <v>2.0</v>
      </c>
      <c r="B38" s="78">
        <f>mround(B35*0.29,2.5)</f>
        <v>7.5</v>
      </c>
      <c r="C38" s="78">
        <v>15.0</v>
      </c>
      <c r="D38" s="257" t="s">
        <v>93</v>
      </c>
      <c r="E38" s="63"/>
      <c r="F38" s="58"/>
      <c r="G38" s="201"/>
      <c r="H38" s="256">
        <v>2.0</v>
      </c>
      <c r="I38" s="258" t="str">
        <f>mround('WEEK 1 '!I35*2*0.75,10)</f>
        <v>#REF!</v>
      </c>
      <c r="J38" s="78">
        <v>15.0</v>
      </c>
      <c r="K38" s="257" t="s">
        <v>93</v>
      </c>
      <c r="L38" s="63"/>
      <c r="M38" s="58"/>
      <c r="N38" s="201"/>
      <c r="O38" s="201"/>
      <c r="P38" s="201"/>
      <c r="Q38" s="201"/>
      <c r="R38" s="201"/>
      <c r="S38" s="201"/>
      <c r="T38" s="201"/>
      <c r="U38" s="201"/>
      <c r="V38" s="201"/>
      <c r="W38" s="201"/>
      <c r="X38" s="201"/>
      <c r="Y38" s="201"/>
      <c r="Z38" s="201"/>
    </row>
    <row r="39">
      <c r="A39" s="94"/>
      <c r="B39" s="94"/>
      <c r="C39" s="94"/>
      <c r="D39" s="94"/>
      <c r="E39" s="189"/>
      <c r="F39" s="94"/>
      <c r="G39" s="94"/>
      <c r="H39" s="94"/>
      <c r="I39" s="94"/>
      <c r="J39" s="94"/>
      <c r="K39" s="94"/>
      <c r="L39" s="189"/>
      <c r="M39" s="94"/>
      <c r="N39" s="94"/>
      <c r="O39" s="94"/>
      <c r="P39" s="94"/>
      <c r="Q39" s="94"/>
      <c r="R39" s="94"/>
      <c r="S39" s="94"/>
      <c r="T39" s="94"/>
      <c r="U39" s="94"/>
      <c r="V39" s="94"/>
      <c r="W39" s="94"/>
      <c r="X39" s="94"/>
      <c r="Y39" s="94"/>
      <c r="Z39" s="94"/>
    </row>
    <row r="40">
      <c r="A40" s="94"/>
      <c r="B40" s="94"/>
      <c r="C40" s="94"/>
      <c r="D40" s="94"/>
      <c r="E40" s="245"/>
      <c r="F40" s="94"/>
      <c r="G40" s="94"/>
      <c r="H40" s="94"/>
      <c r="I40" s="94"/>
      <c r="J40" s="94"/>
      <c r="K40" s="94"/>
      <c r="L40" s="189"/>
      <c r="M40" s="94"/>
      <c r="N40" s="94"/>
      <c r="O40" s="94"/>
      <c r="P40" s="94"/>
      <c r="Q40" s="94"/>
      <c r="R40" s="94"/>
      <c r="S40" s="94"/>
      <c r="T40" s="94"/>
      <c r="U40" s="94"/>
      <c r="V40" s="94"/>
      <c r="W40" s="94"/>
      <c r="X40" s="94"/>
      <c r="Y40" s="94"/>
      <c r="Z40" s="94"/>
    </row>
    <row r="41">
      <c r="A41" s="64" t="str">
        <f>HYPERLINK("https://www.youtube.com/watch?v=PnaDzYh2axA","3. LAT PULL DOWN")</f>
        <v>3. LAT PULL DOWN</v>
      </c>
      <c r="B41" s="44"/>
      <c r="C41" s="44"/>
      <c r="D41" s="44"/>
      <c r="E41" s="44"/>
      <c r="F41" s="45"/>
      <c r="G41" s="243"/>
      <c r="H41" s="94"/>
      <c r="I41" s="259"/>
      <c r="J41" s="259"/>
      <c r="K41" s="259"/>
      <c r="L41" s="260"/>
      <c r="M41" s="94"/>
      <c r="N41" s="94"/>
      <c r="O41" s="94"/>
      <c r="P41" s="94"/>
      <c r="Q41" s="94"/>
      <c r="R41" s="94"/>
      <c r="S41" s="94"/>
      <c r="T41" s="94"/>
      <c r="U41" s="94"/>
      <c r="V41" s="94"/>
      <c r="W41" s="94"/>
      <c r="X41" s="94"/>
      <c r="Y41" s="94"/>
      <c r="Z41" s="94"/>
    </row>
    <row r="42">
      <c r="A42" s="193" t="s">
        <v>86</v>
      </c>
      <c r="B42" s="194">
        <v>100.0</v>
      </c>
      <c r="C42" s="11"/>
      <c r="D42" s="11"/>
      <c r="E42" s="11"/>
      <c r="F42" s="86"/>
      <c r="G42" s="94"/>
      <c r="H42" s="94"/>
      <c r="I42" s="259"/>
      <c r="J42" s="259"/>
      <c r="K42" s="259"/>
      <c r="L42" s="260"/>
      <c r="M42" s="94"/>
      <c r="N42" s="94"/>
      <c r="O42" s="94"/>
      <c r="P42" s="94"/>
      <c r="Q42" s="94"/>
      <c r="R42" s="94"/>
      <c r="S42" s="94"/>
      <c r="T42" s="94"/>
      <c r="U42" s="94"/>
      <c r="V42" s="94"/>
      <c r="W42" s="94"/>
      <c r="X42" s="94"/>
      <c r="Y42" s="94"/>
      <c r="Z42" s="94"/>
    </row>
    <row r="43">
      <c r="A43" s="198" t="s">
        <v>18</v>
      </c>
      <c r="B43" s="199" t="s">
        <v>19</v>
      </c>
      <c r="C43" s="199" t="s">
        <v>20</v>
      </c>
      <c r="D43" s="199" t="s">
        <v>21</v>
      </c>
      <c r="E43" s="200" t="s">
        <v>22</v>
      </c>
      <c r="F43" s="52" t="s">
        <v>23</v>
      </c>
      <c r="G43" s="201"/>
      <c r="H43" s="201"/>
      <c r="I43" s="261"/>
      <c r="J43" s="261"/>
      <c r="K43" s="261"/>
      <c r="L43" s="262"/>
      <c r="M43" s="201"/>
      <c r="N43" s="201"/>
      <c r="O43" s="201"/>
      <c r="P43" s="201"/>
      <c r="Q43" s="201"/>
      <c r="R43" s="201"/>
      <c r="S43" s="201"/>
      <c r="T43" s="201"/>
      <c r="U43" s="201"/>
      <c r="V43" s="201"/>
      <c r="W43" s="201"/>
      <c r="X43" s="201"/>
      <c r="Y43" s="201"/>
      <c r="Z43" s="201"/>
    </row>
    <row r="44">
      <c r="A44" s="203">
        <v>1.0</v>
      </c>
      <c r="B44" s="204" t="str">
        <f>mround('WEEK 1 '!B42*0.35,5)</f>
        <v>#REF!</v>
      </c>
      <c r="C44" s="204">
        <v>6.0</v>
      </c>
      <c r="D44" s="205" t="s">
        <v>87</v>
      </c>
      <c r="E44" s="57"/>
      <c r="F44" s="58"/>
      <c r="G44" s="254"/>
      <c r="H44" s="254"/>
      <c r="I44" s="263"/>
      <c r="J44" s="263"/>
      <c r="K44" s="263"/>
      <c r="L44" s="264"/>
      <c r="M44" s="254"/>
      <c r="N44" s="254"/>
      <c r="O44" s="254"/>
      <c r="P44" s="254"/>
      <c r="Q44" s="254"/>
      <c r="R44" s="254"/>
      <c r="S44" s="254"/>
      <c r="T44" s="254"/>
      <c r="U44" s="254"/>
      <c r="V44" s="254"/>
      <c r="W44" s="254"/>
      <c r="X44" s="254"/>
      <c r="Y44" s="254"/>
      <c r="Z44" s="254"/>
    </row>
    <row r="45">
      <c r="A45" s="203">
        <v>2.0</v>
      </c>
      <c r="B45" s="204" t="str">
        <f>mround('WEEK 1 '!B42*0.65,5)</f>
        <v>#REF!</v>
      </c>
      <c r="C45" s="205">
        <v>3.0</v>
      </c>
      <c r="D45" s="205" t="s">
        <v>88</v>
      </c>
      <c r="E45" s="57"/>
      <c r="F45" s="58"/>
      <c r="G45" s="254"/>
      <c r="H45" s="254"/>
      <c r="I45" s="263"/>
      <c r="J45" s="263"/>
      <c r="K45" s="263"/>
      <c r="L45" s="264"/>
      <c r="M45" s="254"/>
      <c r="N45" s="254"/>
      <c r="O45" s="254"/>
      <c r="P45" s="254"/>
      <c r="Q45" s="254"/>
      <c r="R45" s="254"/>
      <c r="S45" s="254"/>
      <c r="T45" s="254"/>
      <c r="U45" s="254"/>
      <c r="V45" s="254"/>
      <c r="W45" s="254"/>
      <c r="X45" s="254"/>
      <c r="Y45" s="254"/>
      <c r="Z45" s="254"/>
    </row>
    <row r="46">
      <c r="A46" s="209">
        <v>3.0</v>
      </c>
      <c r="B46" s="204" t="str">
        <f>mround('WEEK 1 '!B42*0.9,5)</f>
        <v>#REF!</v>
      </c>
      <c r="C46" s="54">
        <v>2.0</v>
      </c>
      <c r="D46" s="205" t="s">
        <v>88</v>
      </c>
      <c r="E46" s="57"/>
      <c r="F46" s="58"/>
      <c r="G46" s="254"/>
      <c r="H46" s="254"/>
      <c r="I46" s="263"/>
      <c r="J46" s="263"/>
      <c r="K46" s="263"/>
      <c r="L46" s="264"/>
      <c r="M46" s="254"/>
      <c r="N46" s="254"/>
      <c r="O46" s="254"/>
      <c r="P46" s="254"/>
      <c r="Q46" s="254"/>
      <c r="R46" s="254"/>
      <c r="S46" s="254"/>
      <c r="T46" s="254"/>
      <c r="U46" s="254"/>
      <c r="V46" s="254"/>
      <c r="W46" s="254"/>
      <c r="X46" s="254"/>
      <c r="Y46" s="254"/>
      <c r="Z46" s="254"/>
    </row>
    <row r="47">
      <c r="A47" s="210">
        <v>4.0</v>
      </c>
      <c r="B47" s="204" t="str">
        <f>'WEEK 1 '!B42</f>
        <v>#REF!</v>
      </c>
      <c r="C47" s="224">
        <v>3.0</v>
      </c>
      <c r="D47" s="205" t="s">
        <v>89</v>
      </c>
      <c r="E47" s="57"/>
      <c r="F47" s="58"/>
      <c r="G47" s="94"/>
      <c r="H47" s="94"/>
      <c r="I47" s="94"/>
      <c r="J47" s="94"/>
      <c r="K47" s="94"/>
      <c r="L47" s="189"/>
      <c r="M47" s="94"/>
      <c r="N47" s="94"/>
      <c r="O47" s="94"/>
      <c r="P47" s="94"/>
      <c r="Q47" s="94"/>
      <c r="R47" s="94"/>
      <c r="S47" s="94"/>
      <c r="T47" s="94"/>
      <c r="U47" s="94"/>
      <c r="V47" s="94"/>
      <c r="W47" s="94"/>
      <c r="X47" s="94"/>
      <c r="Y47" s="94"/>
      <c r="Z47" s="94"/>
    </row>
    <row r="48">
      <c r="A48" s="213" t="str">
        <f>IF('WEEK 1 '!F47&lt;3,"PROCEED TO DOWN SETS","NEW 4 REP MAX ATTEMPT")</f>
        <v>#REF!</v>
      </c>
      <c r="B48" s="11"/>
      <c r="C48" s="11"/>
      <c r="D48" s="11"/>
      <c r="E48" s="11"/>
      <c r="F48" s="86"/>
      <c r="G48" s="201"/>
      <c r="H48" s="265"/>
      <c r="I48" s="265"/>
      <c r="J48" s="201"/>
      <c r="K48" s="201"/>
      <c r="L48" s="266"/>
      <c r="M48" s="201"/>
      <c r="N48" s="201"/>
      <c r="O48" s="201"/>
      <c r="P48" s="201"/>
      <c r="Q48" s="201"/>
      <c r="R48" s="201"/>
      <c r="S48" s="201"/>
      <c r="T48" s="201"/>
      <c r="U48" s="201"/>
      <c r="V48" s="201"/>
      <c r="W48" s="201"/>
      <c r="X48" s="201"/>
      <c r="Y48" s="201"/>
      <c r="Z48" s="201"/>
    </row>
    <row r="49">
      <c r="A49" s="216" t="str">
        <f>if('WEEK 1 '!F47&lt;=2,"",5)</f>
        <v>#REF!</v>
      </c>
      <c r="B49" s="142" t="str">
        <f>IF('WEEK 1 '!F47&lt;=2,"",B47+5)</f>
        <v>#REF!</v>
      </c>
      <c r="C49" s="205" t="str">
        <f>if('WEEK 1 '!F47&lt;=2,"",4)</f>
        <v>#REF!</v>
      </c>
      <c r="D49" s="205" t="str">
        <f>if('WEEK 1 '!F47&lt;=2,"","1-5 MIN")</f>
        <v>#REF!</v>
      </c>
      <c r="E49" s="217"/>
      <c r="F49" s="58"/>
      <c r="G49" s="201"/>
      <c r="H49" s="201"/>
      <c r="I49" s="265"/>
      <c r="J49" s="201"/>
      <c r="K49" s="201"/>
      <c r="L49" s="266"/>
      <c r="M49" s="201"/>
      <c r="N49" s="201"/>
      <c r="O49" s="201"/>
      <c r="P49" s="201"/>
      <c r="Q49" s="201"/>
      <c r="R49" s="201"/>
      <c r="S49" s="201"/>
      <c r="T49" s="201"/>
      <c r="U49" s="201"/>
      <c r="V49" s="201"/>
      <c r="W49" s="201"/>
      <c r="X49" s="201"/>
      <c r="Y49" s="201"/>
      <c r="Z49" s="201"/>
    </row>
    <row r="50">
      <c r="A50" s="223" t="str">
        <f>IF('WEEK 1 '!F49&lt;4,"","6")</f>
        <v>#REF!</v>
      </c>
      <c r="B50" s="204" t="str">
        <f>IF('WEEK 1 '!F49&lt;4,"",B49+5)</f>
        <v>#REF!</v>
      </c>
      <c r="C50" s="224" t="str">
        <f>IF('WEEK 1 '!F49&lt;4,"","4")</f>
        <v>#REF!</v>
      </c>
      <c r="D50" s="224" t="str">
        <f>IF('WEEK 1 '!F49&lt;4,"","1-5 MIN")</f>
        <v>#REF!</v>
      </c>
      <c r="E50" s="225"/>
      <c r="F50" s="58"/>
      <c r="G50" s="267"/>
      <c r="H50" s="267"/>
      <c r="I50" s="267"/>
      <c r="J50" s="267"/>
      <c r="K50" s="267"/>
      <c r="L50" s="268"/>
      <c r="M50" s="267"/>
      <c r="N50" s="267"/>
      <c r="O50" s="267"/>
      <c r="P50" s="267"/>
      <c r="Q50" s="267"/>
      <c r="R50" s="267"/>
      <c r="S50" s="267"/>
      <c r="T50" s="267"/>
      <c r="U50" s="267"/>
      <c r="V50" s="267"/>
      <c r="W50" s="267"/>
      <c r="X50" s="267"/>
      <c r="Y50" s="267"/>
      <c r="Z50" s="267"/>
    </row>
    <row r="51">
      <c r="A51" s="213" t="str">
        <f>IF(OR(ISBLANK('WEEK 1 '!F47),ISBLANK('WEEK 1 '!F46),ISBLANK('WEEK 1 '!F45)),"FILL OUT REP LOG FOR DOWN SETS","DOWN SETS")</f>
        <v>DOWN SETS</v>
      </c>
      <c r="B51" s="11"/>
      <c r="C51" s="11"/>
      <c r="D51" s="11"/>
      <c r="E51" s="11"/>
      <c r="F51" s="86"/>
      <c r="G51" s="267"/>
      <c r="H51" s="267"/>
      <c r="I51" s="267"/>
      <c r="J51" s="267"/>
      <c r="K51" s="267"/>
      <c r="L51" s="268"/>
      <c r="M51" s="267"/>
      <c r="N51" s="267"/>
      <c r="O51" s="267"/>
      <c r="P51" s="267"/>
      <c r="Q51" s="267"/>
      <c r="R51" s="267"/>
      <c r="S51" s="267"/>
      <c r="T51" s="267"/>
      <c r="U51" s="267"/>
      <c r="V51" s="267"/>
      <c r="W51" s="267"/>
      <c r="X51" s="267"/>
      <c r="Y51" s="267"/>
      <c r="Z51" s="267"/>
    </row>
    <row r="52">
      <c r="A52" s="231" t="str">
        <f>IF(OR(ISBLANK('WEEK 1 '!F47),ISBLANK('WEEK 1 '!F46),ISBLANK('WEEK 1 '!F45)),"",IF((AND(A49="",A50="")),5,IF((AND(A49&gt;1,A50="")),6,7)))</f>
        <v>#REF!</v>
      </c>
      <c r="B52" s="232" t="str">
        <f>MROUND('WEEK 1 '!B54*0.8,5)</f>
        <v>#REF!</v>
      </c>
      <c r="C52" s="233" t="s">
        <v>33</v>
      </c>
      <c r="D52" s="234" t="s">
        <v>94</v>
      </c>
      <c r="E52" s="235"/>
      <c r="F52" s="58"/>
      <c r="G52" s="267"/>
      <c r="H52" s="267"/>
      <c r="I52" s="267"/>
      <c r="J52" s="267"/>
      <c r="K52" s="267"/>
      <c r="L52" s="268"/>
      <c r="M52" s="267"/>
      <c r="N52" s="267"/>
      <c r="O52" s="267"/>
      <c r="P52" s="267"/>
      <c r="Q52" s="267"/>
      <c r="R52" s="267"/>
      <c r="S52" s="267"/>
      <c r="T52" s="267"/>
      <c r="U52" s="267"/>
      <c r="V52" s="267"/>
      <c r="W52" s="267"/>
      <c r="X52" s="267"/>
      <c r="Y52" s="267"/>
      <c r="Z52" s="267"/>
    </row>
    <row r="53">
      <c r="A53" s="210" t="str">
        <f>IF(OR(ISBLANK('WEEK 1 '!F47),ISBLANK('WEEK 1 '!F46),ISBLANK('WEEK 1 '!F45)),"",IF((AND(A49="",A50="")),6,IF((AND(A49&gt;1,A50="")),7,8)))</f>
        <v>#REF!</v>
      </c>
      <c r="B53" s="204" t="str">
        <f>mround('WEEK 1 '!B54*0.7,5)</f>
        <v>#REF!</v>
      </c>
      <c r="C53" s="212" t="s">
        <v>33</v>
      </c>
      <c r="D53" s="56" t="s">
        <v>94</v>
      </c>
      <c r="E53" s="225"/>
      <c r="F53" s="238"/>
      <c r="G53" s="267"/>
      <c r="H53" s="267"/>
      <c r="I53" s="267"/>
      <c r="J53" s="267"/>
      <c r="K53" s="267"/>
      <c r="L53" s="268"/>
      <c r="M53" s="267"/>
      <c r="N53" s="267"/>
      <c r="O53" s="267"/>
      <c r="P53" s="267"/>
      <c r="Q53" s="267"/>
      <c r="R53" s="267"/>
      <c r="S53" s="267"/>
      <c r="T53" s="267"/>
      <c r="U53" s="267"/>
      <c r="V53" s="267"/>
      <c r="W53" s="267"/>
      <c r="X53" s="267"/>
      <c r="Y53" s="267"/>
      <c r="Z53" s="267"/>
    </row>
    <row r="54">
      <c r="A54" s="239" t="s">
        <v>91</v>
      </c>
      <c r="B54" s="240" t="str">
        <f>IF(OR(ISBLANK('WEEK 1 '!F47),ISBLANK('WEEK 1 '!F46),ISBLANK('WEEK 1 '!F45)),"",IF('WEEK 1 '!F50&gt;=4,'WEEK 1 '!B50,IF('WEEK 1 '!F49&gt;=4,'WEEK 1 '!B49,IF('WEEK 1 '!F47&lt;3,'WEEK 1 '!B47-5,'WEEK 1 '!B47))))</f>
        <v>#REF!</v>
      </c>
      <c r="C54" s="2"/>
      <c r="D54" s="2"/>
      <c r="E54" s="2"/>
      <c r="F54" s="37"/>
      <c r="G54" s="94"/>
      <c r="H54" s="94"/>
      <c r="I54" s="94"/>
      <c r="J54" s="94"/>
      <c r="K54" s="94"/>
      <c r="L54" s="189"/>
      <c r="M54" s="94"/>
      <c r="N54" s="94"/>
      <c r="O54" s="94"/>
      <c r="P54" s="94"/>
      <c r="Q54" s="94"/>
      <c r="R54" s="94"/>
      <c r="S54" s="94"/>
      <c r="T54" s="94"/>
      <c r="U54" s="94"/>
      <c r="V54" s="94"/>
      <c r="W54" s="94"/>
      <c r="X54" s="94"/>
      <c r="Y54" s="94"/>
      <c r="Z54" s="94"/>
    </row>
    <row r="55">
      <c r="A55" s="269"/>
      <c r="B55" s="269"/>
      <c r="C55" s="269"/>
      <c r="D55" s="269"/>
      <c r="E55" s="270"/>
      <c r="F55" s="94"/>
      <c r="G55" s="94"/>
      <c r="H55" s="271"/>
      <c r="I55" s="271"/>
      <c r="J55" s="271"/>
      <c r="K55" s="271"/>
      <c r="L55" s="270"/>
      <c r="M55" s="94"/>
      <c r="N55" s="94"/>
      <c r="O55" s="94"/>
      <c r="P55" s="94"/>
      <c r="Q55" s="94"/>
      <c r="R55" s="94"/>
      <c r="S55" s="94"/>
      <c r="T55" s="94"/>
      <c r="U55" s="94"/>
      <c r="V55" s="94"/>
      <c r="W55" s="94"/>
      <c r="X55" s="94"/>
      <c r="Y55" s="94"/>
      <c r="Z55" s="94"/>
    </row>
    <row r="56">
      <c r="A56" s="269"/>
      <c r="B56" s="269"/>
      <c r="C56" s="269"/>
      <c r="D56" s="269"/>
      <c r="E56" s="270"/>
      <c r="F56" s="94"/>
      <c r="G56" s="94"/>
      <c r="H56" s="271"/>
      <c r="I56" s="271"/>
      <c r="J56" s="271"/>
      <c r="K56" s="271"/>
      <c r="L56" s="270"/>
      <c r="M56" s="94"/>
      <c r="N56" s="94"/>
      <c r="O56" s="94"/>
      <c r="P56" s="94"/>
      <c r="Q56" s="94"/>
      <c r="R56" s="94"/>
      <c r="S56" s="94"/>
      <c r="T56" s="94"/>
      <c r="U56" s="94"/>
      <c r="V56" s="94"/>
      <c r="W56" s="94"/>
      <c r="X56" s="94"/>
      <c r="Y56" s="94"/>
      <c r="Z56" s="94"/>
    </row>
    <row r="57">
      <c r="A57" s="64" t="str">
        <f>HYPERLINK("https://www.youtube.com/watch?v=9YH1YvZbiY0","4. MACHINE LOW ROW")</f>
        <v>4. MACHINE LOW ROW</v>
      </c>
      <c r="B57" s="44"/>
      <c r="C57" s="44"/>
      <c r="D57" s="44"/>
      <c r="E57" s="44"/>
      <c r="F57" s="45"/>
      <c r="G57" s="94"/>
      <c r="H57" s="271" t="s">
        <v>9</v>
      </c>
      <c r="I57" s="271"/>
      <c r="J57" s="271"/>
      <c r="K57" s="271"/>
      <c r="L57" s="272"/>
      <c r="M57" s="94"/>
      <c r="N57" s="94"/>
      <c r="O57" s="94"/>
      <c r="P57" s="94"/>
      <c r="Q57" s="94"/>
      <c r="R57" s="94"/>
      <c r="S57" s="94"/>
      <c r="T57" s="94"/>
      <c r="U57" s="94"/>
      <c r="V57" s="94"/>
      <c r="W57" s="94"/>
      <c r="X57" s="94"/>
      <c r="Y57" s="94"/>
      <c r="Z57" s="94"/>
    </row>
    <row r="58">
      <c r="A58" s="249" t="s">
        <v>86</v>
      </c>
      <c r="B58" s="47">
        <v>100.0</v>
      </c>
      <c r="C58" s="4"/>
      <c r="D58" s="4"/>
      <c r="E58" s="4"/>
      <c r="F58" s="48"/>
      <c r="G58" s="94"/>
      <c r="H58" s="271"/>
      <c r="I58" s="271"/>
      <c r="J58" s="271"/>
      <c r="K58" s="271"/>
      <c r="L58" s="272"/>
      <c r="M58" s="94"/>
      <c r="N58" s="94"/>
      <c r="O58" s="94"/>
      <c r="P58" s="94"/>
      <c r="Q58" s="94"/>
      <c r="R58" s="94"/>
      <c r="S58" s="94"/>
      <c r="T58" s="94"/>
      <c r="U58" s="94"/>
      <c r="V58" s="94"/>
      <c r="W58" s="94"/>
      <c r="X58" s="94"/>
      <c r="Y58" s="94"/>
      <c r="Z58" s="94"/>
    </row>
    <row r="59">
      <c r="A59" s="49" t="s">
        <v>18</v>
      </c>
      <c r="B59" s="50" t="s">
        <v>19</v>
      </c>
      <c r="C59" s="50" t="s">
        <v>20</v>
      </c>
      <c r="D59" s="50" t="s">
        <v>21</v>
      </c>
      <c r="E59" s="51" t="s">
        <v>22</v>
      </c>
      <c r="F59" s="52" t="s">
        <v>23</v>
      </c>
      <c r="G59" s="214" t="s">
        <v>90</v>
      </c>
      <c r="H59" s="273"/>
      <c r="I59" s="273"/>
      <c r="J59" s="273"/>
      <c r="K59" s="273"/>
      <c r="L59" s="274"/>
      <c r="M59" s="201"/>
      <c r="N59" s="201"/>
      <c r="O59" s="201"/>
      <c r="P59" s="201"/>
      <c r="Q59" s="201"/>
      <c r="R59" s="201"/>
      <c r="S59" s="201"/>
      <c r="T59" s="201"/>
      <c r="U59" s="201"/>
      <c r="V59" s="201"/>
      <c r="W59" s="201"/>
      <c r="X59" s="201"/>
      <c r="Y59" s="201"/>
      <c r="Z59" s="201"/>
    </row>
    <row r="60">
      <c r="A60" s="53">
        <v>1.0</v>
      </c>
      <c r="B60" s="54" t="str">
        <f> mround('WEEK 1 '!B58*0.9,5)</f>
        <v>#REF!</v>
      </c>
      <c r="C60" s="95" t="s">
        <v>33</v>
      </c>
      <c r="D60" s="56" t="s">
        <v>25</v>
      </c>
      <c r="E60" s="57"/>
      <c r="F60" s="58"/>
      <c r="H60" s="273"/>
      <c r="I60" s="273"/>
      <c r="J60" s="273"/>
      <c r="K60" s="273"/>
      <c r="L60" s="274"/>
      <c r="M60" s="201"/>
      <c r="N60" s="201"/>
      <c r="O60" s="201"/>
      <c r="P60" s="201"/>
      <c r="Q60" s="201"/>
      <c r="R60" s="201"/>
      <c r="S60" s="201"/>
      <c r="T60" s="201"/>
      <c r="U60" s="201"/>
      <c r="V60" s="201"/>
      <c r="W60" s="201"/>
      <c r="X60" s="201"/>
      <c r="Y60" s="201"/>
      <c r="Z60" s="201"/>
    </row>
    <row r="61">
      <c r="A61" s="53">
        <v>2.0</v>
      </c>
      <c r="B61" s="54" t="str">
        <f>IF('WEEK 1 '!F60&lt;6,MROUND('WEEK 1 '!B58*0.75,5),IF('WEEK 1 '!F60&lt;=11,MROUND('WEEK 1 '!B58*0.85,5),'WEEK 1 '!B60))</f>
        <v>#REF!</v>
      </c>
      <c r="C61" s="95" t="s">
        <v>33</v>
      </c>
      <c r="D61" s="56" t="s">
        <v>25</v>
      </c>
      <c r="E61" s="57"/>
      <c r="F61" s="58"/>
      <c r="G61" s="201"/>
      <c r="H61" s="273"/>
      <c r="I61" s="273"/>
      <c r="J61" s="273"/>
      <c r="K61" s="273"/>
      <c r="L61" s="274"/>
      <c r="M61" s="201"/>
      <c r="N61" s="201"/>
      <c r="O61" s="201"/>
      <c r="P61" s="201"/>
      <c r="Q61" s="201"/>
      <c r="R61" s="201"/>
      <c r="S61" s="201"/>
      <c r="T61" s="201"/>
      <c r="U61" s="201"/>
      <c r="V61" s="201"/>
      <c r="W61" s="201"/>
      <c r="X61" s="201"/>
      <c r="Y61" s="201"/>
      <c r="Z61" s="201"/>
    </row>
    <row r="62">
      <c r="A62" s="59">
        <v>3.0</v>
      </c>
      <c r="B62" s="60" t="str">
        <f>IF('WEEK 1 '!F61&lt;6,MROUND('WEEK 1 '!B61*0.8,5),IF('WEEK 1 '!F61&lt;=11,MROUND('WEEK 1 '!B58*0.85,5),'WEEK 1 '!B61))</f>
        <v>#REF!</v>
      </c>
      <c r="C62" s="96" t="s">
        <v>33</v>
      </c>
      <c r="D62" s="62" t="s">
        <v>25</v>
      </c>
      <c r="E62" s="63"/>
      <c r="F62" s="58"/>
      <c r="G62" s="201"/>
      <c r="H62" s="273"/>
      <c r="I62" s="273"/>
      <c r="J62" s="273"/>
      <c r="K62" s="273"/>
      <c r="L62" s="274"/>
      <c r="M62" s="201"/>
      <c r="N62" s="201"/>
      <c r="O62" s="201"/>
      <c r="P62" s="201"/>
      <c r="Q62" s="201"/>
      <c r="R62" s="201"/>
      <c r="S62" s="201"/>
      <c r="T62" s="201"/>
      <c r="U62" s="201"/>
      <c r="V62" s="201"/>
      <c r="W62" s="201"/>
      <c r="X62" s="201"/>
      <c r="Y62" s="201"/>
      <c r="Z62" s="201"/>
    </row>
    <row r="63">
      <c r="A63" s="94"/>
      <c r="B63" s="94"/>
      <c r="C63" s="94"/>
      <c r="D63" s="94"/>
      <c r="E63" s="189"/>
      <c r="F63" s="94"/>
      <c r="G63" s="94"/>
      <c r="H63" s="94"/>
      <c r="I63" s="94"/>
      <c r="J63" s="94"/>
      <c r="K63" s="94"/>
      <c r="L63" s="189"/>
      <c r="M63" s="94"/>
      <c r="N63" s="94"/>
      <c r="O63" s="94"/>
      <c r="P63" s="94"/>
      <c r="Q63" s="94"/>
      <c r="R63" s="94"/>
      <c r="S63" s="94"/>
      <c r="T63" s="94"/>
      <c r="U63" s="94"/>
      <c r="V63" s="94"/>
      <c r="W63" s="94"/>
      <c r="X63" s="94"/>
      <c r="Y63" s="94"/>
      <c r="Z63" s="94"/>
    </row>
    <row r="64">
      <c r="A64" s="94"/>
      <c r="B64" s="94"/>
      <c r="C64" s="94"/>
      <c r="D64" s="94"/>
      <c r="E64" s="189"/>
      <c r="F64" s="94"/>
      <c r="G64" s="94"/>
      <c r="H64" s="94"/>
      <c r="I64" s="94"/>
      <c r="J64" s="94"/>
      <c r="K64" s="94"/>
      <c r="L64" s="189"/>
      <c r="M64" s="94"/>
      <c r="N64" s="94"/>
      <c r="O64" s="94"/>
      <c r="P64" s="94"/>
      <c r="Q64" s="94"/>
      <c r="R64" s="94"/>
      <c r="S64" s="94"/>
      <c r="T64" s="94"/>
      <c r="U64" s="94"/>
      <c r="V64" s="94"/>
      <c r="W64" s="94"/>
      <c r="X64" s="94"/>
      <c r="Y64" s="94"/>
      <c r="Z64" s="94"/>
    </row>
    <row r="65">
      <c r="A65" s="64" t="str">
        <f>HYPERLINK("https://youtu.be/5-SUS-OVULY","5. MACHINE HIGH ROW")</f>
        <v>5. MACHINE HIGH ROW</v>
      </c>
      <c r="B65" s="44"/>
      <c r="C65" s="44"/>
      <c r="D65" s="44"/>
      <c r="E65" s="44"/>
      <c r="F65" s="45"/>
      <c r="G65" s="94"/>
      <c r="H65" s="94"/>
      <c r="I65" s="94"/>
      <c r="J65" s="94"/>
      <c r="K65" s="94"/>
      <c r="L65" s="189"/>
      <c r="M65" s="94"/>
      <c r="N65" s="94"/>
      <c r="O65" s="94"/>
      <c r="P65" s="94"/>
      <c r="Q65" s="94"/>
      <c r="R65" s="94"/>
      <c r="S65" s="94"/>
      <c r="T65" s="94"/>
      <c r="U65" s="94"/>
      <c r="V65" s="94"/>
      <c r="W65" s="94"/>
      <c r="X65" s="94"/>
      <c r="Y65" s="94"/>
      <c r="Z65" s="94"/>
    </row>
    <row r="66">
      <c r="A66" s="249" t="s">
        <v>86</v>
      </c>
      <c r="B66" s="47">
        <v>100.0</v>
      </c>
      <c r="C66" s="4"/>
      <c r="D66" s="4"/>
      <c r="E66" s="4"/>
      <c r="F66" s="48"/>
      <c r="G66" s="94"/>
      <c r="H66" s="94"/>
      <c r="I66" s="94"/>
      <c r="J66" s="94"/>
      <c r="K66" s="94"/>
      <c r="L66" s="189"/>
      <c r="M66" s="94"/>
      <c r="N66" s="94"/>
      <c r="O66" s="94"/>
      <c r="P66" s="94"/>
      <c r="Q66" s="94"/>
      <c r="R66" s="94"/>
      <c r="S66" s="94"/>
      <c r="T66" s="94"/>
      <c r="U66" s="94"/>
      <c r="V66" s="94"/>
      <c r="W66" s="94"/>
      <c r="X66" s="94"/>
      <c r="Y66" s="94"/>
      <c r="Z66" s="94"/>
    </row>
    <row r="67">
      <c r="A67" s="49" t="s">
        <v>18</v>
      </c>
      <c r="B67" s="50" t="s">
        <v>19</v>
      </c>
      <c r="C67" s="50" t="s">
        <v>20</v>
      </c>
      <c r="D67" s="50" t="s">
        <v>21</v>
      </c>
      <c r="E67" s="51" t="s">
        <v>22</v>
      </c>
      <c r="F67" s="52" t="s">
        <v>23</v>
      </c>
      <c r="G67" s="201"/>
      <c r="H67" s="201"/>
      <c r="I67" s="201"/>
      <c r="J67" s="201"/>
      <c r="K67" s="201"/>
      <c r="L67" s="266"/>
      <c r="M67" s="201"/>
      <c r="N67" s="201"/>
      <c r="O67" s="201"/>
      <c r="P67" s="201"/>
      <c r="Q67" s="201"/>
      <c r="R67" s="201"/>
      <c r="S67" s="201"/>
      <c r="T67" s="201"/>
      <c r="U67" s="201"/>
      <c r="V67" s="201"/>
      <c r="W67" s="201"/>
      <c r="X67" s="201"/>
      <c r="Y67" s="201"/>
      <c r="Z67" s="201"/>
    </row>
    <row r="68">
      <c r="A68" s="275">
        <v>1.0</v>
      </c>
      <c r="B68" s="54" t="str">
        <f> mround('WEEK 1 '!B66*0.85,5)</f>
        <v>#REF!</v>
      </c>
      <c r="C68" s="95" t="s">
        <v>33</v>
      </c>
      <c r="D68" s="56" t="s">
        <v>25</v>
      </c>
      <c r="E68" s="57"/>
      <c r="F68" s="58"/>
      <c r="G68" s="201"/>
      <c r="H68" s="201"/>
      <c r="I68" s="201"/>
      <c r="J68" s="201"/>
      <c r="K68" s="201"/>
      <c r="L68" s="266"/>
      <c r="M68" s="201"/>
      <c r="N68" s="201"/>
      <c r="O68" s="201"/>
      <c r="P68" s="201"/>
      <c r="Q68" s="201"/>
      <c r="R68" s="201"/>
      <c r="S68" s="201"/>
      <c r="T68" s="201"/>
      <c r="U68" s="201"/>
      <c r="V68" s="201"/>
      <c r="W68" s="201"/>
      <c r="X68" s="201"/>
      <c r="Y68" s="201"/>
      <c r="Z68" s="201"/>
    </row>
    <row r="69">
      <c r="A69" s="275">
        <v>2.0</v>
      </c>
      <c r="B69" s="54" t="str">
        <f>IF('WEEK 1 '!F68&lt;6,MROUND('WEEK 1 '!B66*0.75,5),IF('WEEK 1 '!F68&lt;=11,MROUND('WEEK 1 '!B66*0.8,5),'WEEK 1 '!B68))</f>
        <v>#REF!</v>
      </c>
      <c r="C69" s="95" t="s">
        <v>33</v>
      </c>
      <c r="D69" s="56" t="s">
        <v>25</v>
      </c>
      <c r="E69" s="57"/>
      <c r="F69" s="58"/>
      <c r="G69" s="201"/>
      <c r="H69" s="201"/>
      <c r="I69" s="201"/>
      <c r="J69" s="201"/>
      <c r="K69" s="201"/>
      <c r="L69" s="266"/>
      <c r="M69" s="201"/>
      <c r="N69" s="201"/>
      <c r="O69" s="201"/>
      <c r="P69" s="201"/>
      <c r="Q69" s="201"/>
      <c r="R69" s="201"/>
      <c r="S69" s="201"/>
      <c r="T69" s="201"/>
      <c r="U69" s="201"/>
      <c r="V69" s="201"/>
      <c r="W69" s="201"/>
      <c r="X69" s="201"/>
      <c r="Y69" s="201"/>
      <c r="Z69" s="201"/>
    </row>
    <row r="70">
      <c r="A70" s="59">
        <v>3.0</v>
      </c>
      <c r="B70" s="78" t="str">
        <f>IF('WEEK 1 '!F69&lt;6,MROUND('WEEK 1 '!B69*0.8,5),IF('WEEK 1 '!F69&lt;=11,MROUND('WEEK 1 '!B66*0.85,5),'WEEK 1 '!B69))</f>
        <v>#REF!</v>
      </c>
      <c r="C70" s="96" t="s">
        <v>33</v>
      </c>
      <c r="D70" s="276" t="s">
        <v>25</v>
      </c>
      <c r="E70" s="63"/>
      <c r="F70" s="58"/>
      <c r="G70" s="201"/>
      <c r="H70" s="201"/>
      <c r="I70" s="201"/>
      <c r="J70" s="201"/>
      <c r="K70" s="201"/>
      <c r="L70" s="266"/>
      <c r="M70" s="201"/>
      <c r="N70" s="201"/>
      <c r="O70" s="201"/>
      <c r="P70" s="201"/>
      <c r="Q70" s="201"/>
      <c r="R70" s="201"/>
      <c r="S70" s="201"/>
      <c r="T70" s="201"/>
      <c r="U70" s="201"/>
      <c r="V70" s="201"/>
      <c r="W70" s="201"/>
      <c r="X70" s="201"/>
      <c r="Y70" s="201"/>
      <c r="Z70" s="201"/>
    </row>
    <row r="71">
      <c r="A71" s="94"/>
      <c r="B71" s="94"/>
      <c r="C71" s="94"/>
      <c r="D71" s="94"/>
      <c r="E71" s="189"/>
      <c r="F71" s="94"/>
      <c r="G71" s="94"/>
      <c r="H71" s="94"/>
      <c r="I71" s="94"/>
      <c r="J71" s="94"/>
      <c r="K71" s="94"/>
      <c r="L71" s="189"/>
      <c r="M71" s="94"/>
      <c r="N71" s="94"/>
      <c r="O71" s="94"/>
      <c r="P71" s="94"/>
      <c r="Q71" s="94"/>
      <c r="R71" s="94"/>
      <c r="S71" s="94"/>
      <c r="T71" s="94"/>
      <c r="U71" s="94"/>
      <c r="V71" s="94"/>
      <c r="W71" s="94"/>
      <c r="X71" s="94"/>
      <c r="Y71" s="94"/>
      <c r="Z71" s="94"/>
    </row>
    <row r="72" ht="21.75" customHeight="1">
      <c r="A72" s="277" t="str">
        <f>HYPERLINK("https://docs.google.com/a/fitnessresults.com/forms/d/e/1FAIpQLSd7MoczESe8Yjv6BKpmwAZGn9Aiymrs9-UdgfYIUpbr9t5NXg/viewform?usp=pp_url&amp;entry.93370101","CLICK TO COMPLETE WORKOUT")</f>
        <v>CLICK TO COMPLETE WORKOUT</v>
      </c>
      <c r="B72" s="27"/>
      <c r="C72" s="27"/>
      <c r="D72" s="27"/>
      <c r="E72" s="27"/>
      <c r="F72" s="28"/>
      <c r="G72" s="94"/>
      <c r="H72" s="94"/>
      <c r="I72" s="94"/>
      <c r="J72" s="94"/>
      <c r="K72" s="94"/>
      <c r="L72" s="189"/>
      <c r="M72" s="94"/>
      <c r="N72" s="94"/>
      <c r="O72" s="94"/>
      <c r="P72" s="94"/>
      <c r="Q72" s="94"/>
      <c r="R72" s="94"/>
      <c r="S72" s="94"/>
      <c r="T72" s="94"/>
      <c r="U72" s="94"/>
      <c r="V72" s="94"/>
      <c r="W72" s="94"/>
      <c r="X72" s="94"/>
      <c r="Y72" s="94"/>
      <c r="Z72" s="94"/>
    </row>
    <row r="73">
      <c r="G73" s="14"/>
      <c r="H73" s="14"/>
      <c r="I73" s="14"/>
      <c r="J73" s="14"/>
      <c r="K73" s="14"/>
      <c r="L73" s="14"/>
      <c r="M73" s="14"/>
      <c r="N73" s="94"/>
      <c r="O73" s="94"/>
      <c r="P73" s="94"/>
      <c r="Q73" s="94"/>
      <c r="R73" s="94"/>
      <c r="S73" s="94"/>
      <c r="T73" s="94"/>
      <c r="U73" s="94"/>
      <c r="V73" s="94"/>
      <c r="W73" s="94"/>
      <c r="X73" s="94"/>
      <c r="Y73" s="94"/>
      <c r="Z73" s="94"/>
    </row>
    <row r="74" ht="21.75" customHeight="1">
      <c r="A74" s="191" t="s">
        <v>95</v>
      </c>
      <c r="B74" s="27"/>
      <c r="C74" s="27"/>
      <c r="D74" s="27"/>
      <c r="E74" s="27"/>
      <c r="F74" s="28"/>
      <c r="G74" s="94"/>
      <c r="H74" s="94"/>
      <c r="I74" s="94"/>
      <c r="J74" s="94"/>
      <c r="K74" s="94"/>
      <c r="L74" s="189"/>
      <c r="M74" s="94"/>
      <c r="N74" s="94"/>
      <c r="O74" s="94"/>
      <c r="P74" s="94"/>
      <c r="Q74" s="94"/>
      <c r="R74" s="94"/>
      <c r="S74" s="94"/>
      <c r="T74" s="94"/>
      <c r="U74" s="94"/>
      <c r="V74" s="94"/>
      <c r="W74" s="94"/>
      <c r="X74" s="94"/>
      <c r="Y74" s="94"/>
      <c r="Z74" s="94"/>
    </row>
    <row r="75" ht="21.75" customHeight="1">
      <c r="A75" s="278"/>
      <c r="B75" s="278"/>
      <c r="C75" s="278"/>
      <c r="D75" s="278"/>
      <c r="E75" s="278"/>
      <c r="F75" s="278"/>
      <c r="G75" s="94"/>
      <c r="H75" s="94"/>
      <c r="I75" s="94"/>
      <c r="J75" s="94"/>
      <c r="K75" s="94"/>
      <c r="L75" s="189"/>
      <c r="M75" s="94"/>
      <c r="N75" s="94"/>
      <c r="O75" s="94"/>
      <c r="P75" s="94"/>
      <c r="Q75" s="94"/>
      <c r="R75" s="94"/>
      <c r="S75" s="94"/>
      <c r="T75" s="94"/>
      <c r="U75" s="94"/>
      <c r="V75" s="94"/>
      <c r="W75" s="94"/>
      <c r="X75" s="94"/>
      <c r="Y75" s="94"/>
      <c r="Z75" s="94"/>
    </row>
    <row r="76">
      <c r="A76" s="42" t="s">
        <v>96</v>
      </c>
      <c r="B76" s="27"/>
      <c r="C76" s="27"/>
      <c r="D76" s="27"/>
      <c r="E76" s="27"/>
      <c r="F76" s="28"/>
      <c r="G76" s="94"/>
      <c r="H76" s="94"/>
      <c r="I76" s="94"/>
      <c r="J76" s="94"/>
      <c r="K76" s="94"/>
      <c r="L76" s="189"/>
      <c r="M76" s="94"/>
      <c r="N76" s="94"/>
      <c r="O76" s="94"/>
      <c r="P76" s="94"/>
      <c r="Q76" s="94"/>
      <c r="R76" s="94"/>
      <c r="S76" s="94"/>
      <c r="T76" s="94"/>
      <c r="U76" s="94"/>
      <c r="V76" s="94"/>
      <c r="W76" s="94"/>
      <c r="X76" s="94"/>
      <c r="Y76" s="94"/>
      <c r="Z76" s="94"/>
    </row>
    <row r="77">
      <c r="A77" s="192" t="str">
        <f>HYPERLINK("https://www.youtube.com/watch?v=ZjpkMnGZjTQ"," SISSY SQUATS")</f>
        <v> SISSY SQUATS</v>
      </c>
      <c r="B77" s="4"/>
      <c r="C77" s="4"/>
      <c r="D77" s="4"/>
      <c r="E77" s="4"/>
      <c r="F77" s="48"/>
      <c r="G77" s="94"/>
      <c r="H77" s="94"/>
      <c r="I77" s="94"/>
      <c r="J77" s="94"/>
      <c r="K77" s="94"/>
      <c r="L77" s="189"/>
      <c r="M77" s="94"/>
      <c r="N77" s="94"/>
      <c r="O77" s="94"/>
      <c r="P77" s="94"/>
      <c r="Q77" s="94"/>
      <c r="R77" s="94"/>
      <c r="S77" s="94"/>
      <c r="T77" s="94"/>
      <c r="U77" s="94"/>
      <c r="V77" s="94"/>
      <c r="W77" s="94"/>
      <c r="X77" s="94"/>
      <c r="Y77" s="94"/>
      <c r="Z77" s="94"/>
    </row>
    <row r="78">
      <c r="A78" s="49" t="s">
        <v>18</v>
      </c>
      <c r="B78" s="50" t="s">
        <v>19</v>
      </c>
      <c r="C78" s="50" t="s">
        <v>20</v>
      </c>
      <c r="D78" s="50" t="s">
        <v>21</v>
      </c>
      <c r="E78" s="51" t="s">
        <v>22</v>
      </c>
      <c r="F78" s="52" t="s">
        <v>23</v>
      </c>
      <c r="G78" s="201"/>
      <c r="H78" s="201"/>
      <c r="I78" s="201"/>
      <c r="J78" s="201"/>
      <c r="K78" s="201"/>
      <c r="L78" s="266"/>
      <c r="M78" s="201"/>
      <c r="N78" s="201"/>
      <c r="O78" s="201"/>
      <c r="P78" s="201"/>
      <c r="Q78" s="201"/>
      <c r="R78" s="201"/>
      <c r="S78" s="201"/>
      <c r="T78" s="201"/>
      <c r="U78" s="201"/>
      <c r="V78" s="201"/>
      <c r="W78" s="201"/>
      <c r="X78" s="201"/>
      <c r="Y78" s="201"/>
      <c r="Z78" s="201"/>
    </row>
    <row r="79">
      <c r="A79" s="275">
        <v>1.0</v>
      </c>
      <c r="B79" s="56" t="s">
        <v>97</v>
      </c>
      <c r="C79" s="56">
        <v>10.0</v>
      </c>
      <c r="D79" s="229" t="s">
        <v>88</v>
      </c>
      <c r="E79" s="279"/>
      <c r="F79" s="58"/>
      <c r="G79" s="201"/>
      <c r="H79" s="201"/>
      <c r="I79" s="201"/>
      <c r="J79" s="201"/>
      <c r="K79" s="201"/>
      <c r="L79" s="266"/>
      <c r="M79" s="201"/>
      <c r="N79" s="201"/>
      <c r="O79" s="201"/>
      <c r="P79" s="201"/>
      <c r="Q79" s="201"/>
      <c r="R79" s="201"/>
      <c r="S79" s="201"/>
      <c r="T79" s="201"/>
      <c r="U79" s="201"/>
      <c r="V79" s="201"/>
      <c r="W79" s="201"/>
      <c r="X79" s="201"/>
      <c r="Y79" s="201"/>
      <c r="Z79" s="201"/>
    </row>
    <row r="80">
      <c r="A80" s="280">
        <v>2.0</v>
      </c>
      <c r="B80" s="62" t="s">
        <v>97</v>
      </c>
      <c r="C80" s="62">
        <v>10.0</v>
      </c>
      <c r="D80" s="276" t="s">
        <v>88</v>
      </c>
      <c r="E80" s="281"/>
      <c r="F80" s="58"/>
      <c r="G80" s="201"/>
      <c r="H80" s="201"/>
      <c r="I80" s="201"/>
      <c r="J80" s="201"/>
      <c r="K80" s="201"/>
      <c r="L80" s="266"/>
      <c r="M80" s="201"/>
      <c r="N80" s="201"/>
      <c r="O80" s="201"/>
      <c r="P80" s="201"/>
      <c r="Q80" s="201"/>
      <c r="R80" s="201"/>
      <c r="S80" s="201"/>
      <c r="T80" s="201"/>
      <c r="U80" s="201"/>
      <c r="V80" s="201"/>
      <c r="W80" s="201"/>
      <c r="X80" s="201"/>
      <c r="Y80" s="201"/>
      <c r="Z80" s="201"/>
    </row>
    <row r="81">
      <c r="A81" s="187"/>
      <c r="B81" s="187"/>
      <c r="C81" s="187"/>
      <c r="D81" s="187"/>
      <c r="E81" s="246"/>
      <c r="F81" s="187"/>
      <c r="G81" s="94"/>
      <c r="H81" s="94"/>
      <c r="I81" s="94"/>
      <c r="J81" s="94"/>
      <c r="K81" s="94"/>
      <c r="L81" s="189"/>
      <c r="M81" s="94"/>
      <c r="N81" s="94"/>
      <c r="O81" s="94"/>
      <c r="P81" s="94"/>
      <c r="Q81" s="94"/>
      <c r="R81" s="94"/>
      <c r="S81" s="94"/>
      <c r="T81" s="94"/>
      <c r="U81" s="94"/>
      <c r="V81" s="94"/>
      <c r="W81" s="94"/>
      <c r="X81" s="94"/>
      <c r="Y81" s="94"/>
      <c r="Z81" s="94"/>
    </row>
    <row r="82">
      <c r="A82" s="187"/>
      <c r="B82" s="187"/>
      <c r="C82" s="187"/>
      <c r="D82" s="187"/>
      <c r="E82" s="246"/>
      <c r="F82" s="187"/>
      <c r="G82" s="94"/>
      <c r="H82" s="94"/>
      <c r="I82" s="94"/>
      <c r="J82" s="94"/>
      <c r="K82" s="94"/>
      <c r="L82" s="189"/>
      <c r="M82" s="94"/>
      <c r="N82" s="94"/>
      <c r="O82" s="94"/>
      <c r="P82" s="94"/>
      <c r="Q82" s="94"/>
      <c r="R82" s="94"/>
      <c r="S82" s="94"/>
      <c r="T82" s="94"/>
      <c r="U82" s="94"/>
      <c r="V82" s="94"/>
      <c r="W82" s="94"/>
      <c r="X82" s="94"/>
      <c r="Y82" s="94"/>
      <c r="Z82" s="94"/>
    </row>
    <row r="83">
      <c r="A83" s="64" t="str">
        <f>HYPERLINK("https://www.youtube.com/watch?v=dVterVQksD4","1. LEG PRESS")</f>
        <v>1. LEG PRESS</v>
      </c>
      <c r="B83" s="44"/>
      <c r="C83" s="44"/>
      <c r="D83" s="44"/>
      <c r="E83" s="44"/>
      <c r="F83" s="45"/>
      <c r="G83" s="282"/>
      <c r="H83" s="94"/>
      <c r="I83" s="94"/>
      <c r="J83" s="94"/>
      <c r="K83" s="94"/>
      <c r="L83" s="189"/>
      <c r="M83" s="94"/>
      <c r="N83" s="94"/>
      <c r="O83" s="94"/>
      <c r="P83" s="94"/>
      <c r="Q83" s="94"/>
      <c r="R83" s="94"/>
      <c r="S83" s="94"/>
      <c r="T83" s="94"/>
      <c r="U83" s="94"/>
      <c r="V83" s="94"/>
      <c r="W83" s="94"/>
      <c r="X83" s="94"/>
      <c r="Y83" s="94"/>
      <c r="Z83" s="94"/>
    </row>
    <row r="84">
      <c r="A84" s="249" t="s">
        <v>86</v>
      </c>
      <c r="B84" s="283">
        <v>100.0</v>
      </c>
      <c r="C84" s="11"/>
      <c r="D84" s="11"/>
      <c r="E84" s="11"/>
      <c r="F84" s="86"/>
      <c r="G84" s="94"/>
      <c r="H84" s="94"/>
      <c r="I84" s="94"/>
      <c r="J84" s="94"/>
      <c r="K84" s="94"/>
      <c r="L84" s="189"/>
      <c r="M84" s="94"/>
      <c r="N84" s="94"/>
      <c r="O84" s="94"/>
      <c r="P84" s="94"/>
      <c r="Q84" s="94"/>
      <c r="R84" s="94"/>
      <c r="S84" s="94"/>
      <c r="T84" s="94"/>
      <c r="U84" s="94"/>
      <c r="V84" s="94"/>
      <c r="W84" s="94"/>
      <c r="X84" s="94"/>
      <c r="Y84" s="94"/>
      <c r="Z84" s="94"/>
    </row>
    <row r="85">
      <c r="A85" s="49" t="s">
        <v>18</v>
      </c>
      <c r="B85" s="50" t="s">
        <v>19</v>
      </c>
      <c r="C85" s="50" t="s">
        <v>20</v>
      </c>
      <c r="D85" s="50" t="s">
        <v>21</v>
      </c>
      <c r="E85" s="51" t="s">
        <v>22</v>
      </c>
      <c r="F85" s="52" t="s">
        <v>23</v>
      </c>
      <c r="G85" s="201"/>
      <c r="H85" s="201"/>
      <c r="I85" s="201"/>
      <c r="J85" s="201"/>
      <c r="K85" s="201"/>
      <c r="L85" s="266"/>
      <c r="M85" s="201"/>
      <c r="N85" s="201"/>
      <c r="O85" s="201"/>
      <c r="P85" s="201"/>
      <c r="Q85" s="201"/>
      <c r="R85" s="201"/>
      <c r="S85" s="201"/>
      <c r="T85" s="201"/>
      <c r="U85" s="201"/>
      <c r="V85" s="201"/>
      <c r="W85" s="201"/>
      <c r="X85" s="201"/>
      <c r="Y85" s="201"/>
      <c r="Z85" s="201"/>
    </row>
    <row r="86">
      <c r="A86" s="275">
        <v>1.0</v>
      </c>
      <c r="B86" s="284" t="str">
        <f>mround('WEEK 1 '!B84*0.35,5)</f>
        <v>#REF!</v>
      </c>
      <c r="C86" s="90">
        <v>20.0</v>
      </c>
      <c r="D86" s="229" t="s">
        <v>88</v>
      </c>
      <c r="E86" s="57"/>
      <c r="F86" s="58"/>
      <c r="G86" s="201"/>
      <c r="H86" s="285"/>
      <c r="I86" s="201"/>
      <c r="J86" s="201"/>
      <c r="K86" s="201"/>
      <c r="L86" s="266"/>
      <c r="M86" s="201"/>
      <c r="N86" s="201"/>
      <c r="O86" s="201"/>
      <c r="P86" s="201"/>
      <c r="Q86" s="201"/>
      <c r="R86" s="201"/>
      <c r="S86" s="201"/>
      <c r="T86" s="201"/>
      <c r="U86" s="201"/>
      <c r="V86" s="201"/>
      <c r="W86" s="201"/>
      <c r="X86" s="201"/>
      <c r="Y86" s="201"/>
      <c r="Z86" s="201"/>
    </row>
    <row r="87">
      <c r="A87" s="275">
        <v>2.0</v>
      </c>
      <c r="B87" s="284" t="str">
        <f>mround('WEEK 1 '!B84*0.5,5)</f>
        <v>#REF!</v>
      </c>
      <c r="C87" s="90">
        <v>20.0</v>
      </c>
      <c r="D87" s="229" t="s">
        <v>88</v>
      </c>
      <c r="E87" s="57"/>
      <c r="F87" s="58"/>
      <c r="G87" s="201"/>
      <c r="H87" s="201"/>
      <c r="I87" s="201"/>
      <c r="J87" s="201"/>
      <c r="K87" s="201"/>
      <c r="L87" s="266"/>
      <c r="M87" s="201"/>
      <c r="N87" s="201"/>
      <c r="O87" s="201"/>
      <c r="P87" s="201"/>
      <c r="Q87" s="201"/>
      <c r="R87" s="201"/>
      <c r="S87" s="201"/>
      <c r="T87" s="201"/>
      <c r="U87" s="201"/>
      <c r="V87" s="201"/>
      <c r="W87" s="201"/>
      <c r="X87" s="201"/>
      <c r="Y87" s="201"/>
      <c r="Z87" s="201"/>
    </row>
    <row r="88">
      <c r="A88" s="275">
        <v>3.0</v>
      </c>
      <c r="B88" s="284" t="str">
        <f>mround('WEEK 1 '!B84*0.75,5)</f>
        <v>#REF!</v>
      </c>
      <c r="C88" s="55">
        <v>20.0</v>
      </c>
      <c r="D88" s="229" t="s">
        <v>88</v>
      </c>
      <c r="E88" s="57"/>
      <c r="F88" s="58"/>
      <c r="G88" s="201"/>
      <c r="H88" s="201"/>
      <c r="I88" s="201"/>
      <c r="J88" s="201"/>
      <c r="K88" s="201"/>
      <c r="L88" s="266"/>
      <c r="M88" s="201"/>
      <c r="N88" s="201"/>
      <c r="O88" s="201"/>
      <c r="P88" s="201"/>
      <c r="Q88" s="201"/>
      <c r="R88" s="201"/>
      <c r="S88" s="201"/>
      <c r="T88" s="201"/>
      <c r="U88" s="201"/>
      <c r="V88" s="201"/>
      <c r="W88" s="201"/>
      <c r="X88" s="201"/>
      <c r="Y88" s="201"/>
      <c r="Z88" s="201"/>
    </row>
    <row r="89">
      <c r="A89" s="280">
        <v>4.0</v>
      </c>
      <c r="B89" s="258" t="str">
        <f>mround('WEEK 1 '!B84*1,5)</f>
        <v>#REF!</v>
      </c>
      <c r="C89" s="92">
        <v>20.0</v>
      </c>
      <c r="D89" s="276" t="s">
        <v>88</v>
      </c>
      <c r="E89" s="63"/>
      <c r="F89" s="58"/>
      <c r="G89" s="201"/>
      <c r="H89" s="201"/>
      <c r="I89" s="201"/>
      <c r="J89" s="201"/>
      <c r="K89" s="201"/>
      <c r="L89" s="266"/>
      <c r="M89" s="201"/>
      <c r="N89" s="201"/>
      <c r="O89" s="201"/>
      <c r="P89" s="201"/>
      <c r="Q89" s="201"/>
      <c r="R89" s="201"/>
      <c r="S89" s="201"/>
      <c r="T89" s="201"/>
      <c r="U89" s="201"/>
      <c r="V89" s="201"/>
      <c r="W89" s="201"/>
      <c r="X89" s="201"/>
      <c r="Y89" s="201"/>
      <c r="Z89" s="201"/>
    </row>
    <row r="90">
      <c r="A90" s="200"/>
      <c r="B90" s="200"/>
      <c r="C90" s="200"/>
      <c r="D90" s="200"/>
      <c r="E90" s="286"/>
      <c r="F90" s="200"/>
      <c r="G90" s="201"/>
      <c r="H90" s="201"/>
      <c r="I90" s="201"/>
      <c r="J90" s="201"/>
      <c r="K90" s="201"/>
      <c r="L90" s="266"/>
      <c r="M90" s="201"/>
      <c r="N90" s="201"/>
      <c r="O90" s="201"/>
      <c r="P90" s="201"/>
      <c r="Q90" s="201"/>
      <c r="R90" s="201"/>
      <c r="S90" s="201"/>
      <c r="T90" s="201"/>
      <c r="U90" s="201"/>
      <c r="V90" s="201"/>
      <c r="W90" s="201"/>
      <c r="X90" s="201"/>
      <c r="Y90" s="201"/>
      <c r="Z90" s="201"/>
    </row>
    <row r="91">
      <c r="A91" s="287"/>
      <c r="B91" s="287"/>
      <c r="C91" s="287"/>
      <c r="D91" s="287"/>
      <c r="E91" s="288"/>
      <c r="F91" s="287"/>
      <c r="G91" s="94"/>
      <c r="H91" s="94"/>
      <c r="I91" s="94"/>
      <c r="J91" s="94"/>
      <c r="K91" s="94"/>
      <c r="L91" s="189"/>
      <c r="M91" s="94"/>
      <c r="N91" s="94"/>
      <c r="O91" s="94"/>
      <c r="P91" s="94"/>
      <c r="Q91" s="94"/>
      <c r="R91" s="94"/>
      <c r="S91" s="94"/>
      <c r="T91" s="94"/>
      <c r="U91" s="94"/>
      <c r="V91" s="94"/>
      <c r="W91" s="94"/>
      <c r="X91" s="94"/>
      <c r="Y91" s="94"/>
      <c r="Z91" s="94"/>
    </row>
    <row r="92">
      <c r="A92" s="84" t="str">
        <f>HYPERLINK("https://youtu.be/NZ9KiFtbiMs","2. LEG EXTENSION")</f>
        <v>2. LEG EXTENSION</v>
      </c>
      <c r="B92" s="44"/>
      <c r="C92" s="44"/>
      <c r="D92" s="44"/>
      <c r="E92" s="44"/>
      <c r="F92" s="45"/>
      <c r="G92" s="94"/>
      <c r="H92" s="94"/>
      <c r="I92" s="94"/>
      <c r="J92" s="94"/>
      <c r="K92" s="94"/>
      <c r="L92" s="189"/>
      <c r="M92" s="94"/>
      <c r="N92" s="94"/>
      <c r="O92" s="94"/>
      <c r="P92" s="94"/>
      <c r="Q92" s="94"/>
      <c r="R92" s="94"/>
      <c r="S92" s="94"/>
      <c r="T92" s="94"/>
      <c r="U92" s="94"/>
      <c r="V92" s="94"/>
      <c r="W92" s="94"/>
      <c r="X92" s="94"/>
      <c r="Y92" s="94"/>
      <c r="Z92" s="94"/>
    </row>
    <row r="93">
      <c r="A93" s="193" t="s">
        <v>86</v>
      </c>
      <c r="B93" s="85">
        <v>100.0</v>
      </c>
      <c r="C93" s="11"/>
      <c r="D93" s="11"/>
      <c r="E93" s="11"/>
      <c r="F93" s="86"/>
      <c r="G93" s="94"/>
      <c r="H93" s="94"/>
      <c r="I93" s="94"/>
      <c r="J93" s="94"/>
      <c r="K93" s="94"/>
      <c r="L93" s="189"/>
      <c r="M93" s="94"/>
      <c r="N93" s="94"/>
      <c r="O93" s="94"/>
      <c r="P93" s="94"/>
      <c r="Q93" s="94"/>
      <c r="R93" s="94"/>
      <c r="S93" s="94"/>
      <c r="T93" s="94"/>
      <c r="U93" s="94"/>
      <c r="V93" s="94"/>
      <c r="W93" s="94"/>
      <c r="X93" s="94"/>
      <c r="Y93" s="94"/>
      <c r="Z93" s="94"/>
    </row>
    <row r="94">
      <c r="A94" s="87" t="s">
        <v>18</v>
      </c>
      <c r="B94" s="88" t="s">
        <v>19</v>
      </c>
      <c r="C94" s="88" t="s">
        <v>20</v>
      </c>
      <c r="D94" s="88" t="s">
        <v>21</v>
      </c>
      <c r="E94" s="89" t="s">
        <v>22</v>
      </c>
      <c r="F94" s="202" t="s">
        <v>23</v>
      </c>
      <c r="G94" s="201"/>
      <c r="H94" s="201"/>
      <c r="I94" s="201"/>
      <c r="J94" s="201"/>
      <c r="K94" s="201"/>
      <c r="L94" s="266"/>
      <c r="M94" s="201"/>
      <c r="N94" s="201"/>
      <c r="O94" s="201"/>
      <c r="P94" s="201"/>
      <c r="Q94" s="201"/>
      <c r="R94" s="201"/>
      <c r="S94" s="201"/>
      <c r="T94" s="201"/>
      <c r="U94" s="201"/>
      <c r="V94" s="201"/>
      <c r="W94" s="201"/>
      <c r="X94" s="201"/>
      <c r="Y94" s="201"/>
      <c r="Z94" s="201"/>
    </row>
    <row r="95">
      <c r="A95" s="53">
        <v>1.0</v>
      </c>
      <c r="B95" s="90" t="str">
        <f> mround('WEEK 1 '!B93*1.05,5)</f>
        <v>#REF!</v>
      </c>
      <c r="C95" s="95" t="s">
        <v>33</v>
      </c>
      <c r="D95" s="74" t="s">
        <v>25</v>
      </c>
      <c r="E95" s="91"/>
      <c r="F95" s="76"/>
      <c r="G95" s="94"/>
      <c r="H95" s="94"/>
      <c r="I95" s="94"/>
      <c r="J95" s="94"/>
      <c r="K95" s="94"/>
      <c r="L95" s="189"/>
      <c r="M95" s="94"/>
      <c r="N95" s="94"/>
      <c r="O95" s="94"/>
      <c r="P95" s="94"/>
      <c r="Q95" s="94"/>
      <c r="R95" s="94"/>
      <c r="S95" s="94"/>
      <c r="T95" s="94"/>
      <c r="U95" s="94"/>
      <c r="V95" s="94"/>
      <c r="W95" s="94"/>
      <c r="X95" s="94"/>
      <c r="Y95" s="94"/>
      <c r="Z95" s="94"/>
    </row>
    <row r="96">
      <c r="A96" s="53">
        <v>2.0</v>
      </c>
      <c r="B96" s="90" t="str">
        <f>if('WEEK 1 '!F95&lt;8,mround('WEEK 1 '!B95*0.9,5),IF('WEEK 1 '!F95&lt;=14,MROUND('WEEK 1 '!B95*0.95,5),'WEEK 1 '!B95))</f>
        <v>#REF!</v>
      </c>
      <c r="C96" s="95" t="s">
        <v>33</v>
      </c>
      <c r="D96" s="74" t="s">
        <v>25</v>
      </c>
      <c r="E96" s="91"/>
      <c r="F96" s="76"/>
      <c r="G96" s="206"/>
      <c r="H96" s="206"/>
      <c r="I96" s="206"/>
      <c r="J96" s="206"/>
      <c r="K96" s="206"/>
      <c r="L96" s="289"/>
      <c r="M96" s="206"/>
      <c r="N96" s="206"/>
      <c r="O96" s="206"/>
      <c r="P96" s="206"/>
      <c r="Q96" s="206"/>
      <c r="R96" s="206"/>
      <c r="S96" s="206"/>
      <c r="T96" s="206"/>
      <c r="U96" s="206"/>
      <c r="V96" s="206"/>
      <c r="W96" s="206"/>
      <c r="X96" s="206"/>
      <c r="Y96" s="206"/>
      <c r="Z96" s="206"/>
    </row>
    <row r="97">
      <c r="A97" s="59">
        <v>3.0</v>
      </c>
      <c r="B97" s="92" t="str">
        <f>if('WEEK 1 '!F96&lt;8,mround('WEEK 1 '!B96*0.8,5),IF('WEEK 1 '!F96&lt;=14,MROUND('WEEK 1 '!B96*0.95,5),'WEEK 1 '!B96))</f>
        <v>#REF!</v>
      </c>
      <c r="C97" s="96" t="s">
        <v>33</v>
      </c>
      <c r="D97" s="79" t="s">
        <v>25</v>
      </c>
      <c r="E97" s="93"/>
      <c r="F97" s="76"/>
      <c r="G97" s="94"/>
      <c r="H97" s="94"/>
      <c r="I97" s="94"/>
      <c r="J97" s="94"/>
      <c r="K97" s="94"/>
      <c r="L97" s="189"/>
      <c r="M97" s="94"/>
      <c r="N97" s="94"/>
      <c r="O97" s="94"/>
      <c r="P97" s="94"/>
      <c r="Q97" s="94"/>
      <c r="R97" s="94"/>
      <c r="S97" s="94"/>
      <c r="T97" s="94"/>
      <c r="U97" s="94"/>
      <c r="V97" s="94"/>
      <c r="W97" s="94"/>
      <c r="X97" s="94"/>
      <c r="Y97" s="94"/>
      <c r="Z97" s="94"/>
    </row>
    <row r="98">
      <c r="A98" s="94"/>
      <c r="B98" s="94"/>
      <c r="C98" s="94"/>
      <c r="D98" s="94"/>
      <c r="E98" s="189"/>
      <c r="F98" s="94"/>
      <c r="G98" s="94"/>
      <c r="H98" s="94"/>
      <c r="I98" s="94"/>
      <c r="J98" s="94"/>
      <c r="K98" s="94"/>
      <c r="L98" s="189"/>
      <c r="M98" s="94"/>
      <c r="N98" s="94"/>
      <c r="O98" s="94"/>
      <c r="P98" s="94"/>
      <c r="Q98" s="94"/>
      <c r="R98" s="94"/>
      <c r="S98" s="94"/>
      <c r="T98" s="94"/>
      <c r="U98" s="94"/>
      <c r="V98" s="94"/>
      <c r="W98" s="94"/>
      <c r="X98" s="94"/>
      <c r="Y98" s="94"/>
      <c r="Z98" s="94"/>
    </row>
    <row r="99">
      <c r="A99" s="94"/>
      <c r="B99" s="94"/>
      <c r="C99" s="94"/>
      <c r="D99" s="94"/>
      <c r="E99" s="189"/>
      <c r="F99" s="94"/>
      <c r="G99" s="94"/>
      <c r="H99" s="94"/>
      <c r="I99" s="94"/>
      <c r="J99" s="94"/>
      <c r="K99" s="94"/>
      <c r="L99" s="189"/>
      <c r="M99" s="94"/>
      <c r="N99" s="94"/>
      <c r="O99" s="94"/>
      <c r="P99" s="94"/>
      <c r="Q99" s="94"/>
      <c r="R99" s="94"/>
      <c r="S99" s="94"/>
      <c r="T99" s="94"/>
      <c r="U99" s="94"/>
      <c r="V99" s="94"/>
      <c r="W99" s="94"/>
      <c r="X99" s="94"/>
      <c r="Y99" s="94"/>
      <c r="Z99" s="94"/>
    </row>
    <row r="100">
      <c r="A100" s="64" t="str">
        <f>HYPERLINK("https://youtu.be/XepOfsnGFJg","3. LEG CURL")</f>
        <v>3. LEG CURL</v>
      </c>
      <c r="B100" s="44"/>
      <c r="C100" s="44"/>
      <c r="D100" s="44"/>
      <c r="E100" s="44"/>
      <c r="F100" s="45"/>
      <c r="G100" s="94"/>
      <c r="H100" s="290" t="str">
        <f>HYPERLINK("https://youtu.be/kmN9cJ79PDE","4. PRONE LEG CURL")</f>
        <v>4. PRONE LEG CURL</v>
      </c>
      <c r="I100" s="44"/>
      <c r="J100" s="44"/>
      <c r="K100" s="44"/>
      <c r="L100" s="44"/>
      <c r="M100" s="45"/>
      <c r="N100" s="244"/>
      <c r="O100" s="94"/>
      <c r="P100" s="94"/>
      <c r="Q100" s="94"/>
      <c r="R100" s="94"/>
      <c r="S100" s="94"/>
      <c r="T100" s="94"/>
      <c r="U100" s="94"/>
      <c r="V100" s="94"/>
      <c r="W100" s="94"/>
      <c r="X100" s="94"/>
      <c r="Y100" s="94"/>
      <c r="Z100" s="94"/>
    </row>
    <row r="101">
      <c r="A101" s="193" t="s">
        <v>86</v>
      </c>
      <c r="B101" s="85">
        <f>'Copy of DETERMINING MAX WEEK'!E141</f>
        <v>100</v>
      </c>
      <c r="C101" s="11"/>
      <c r="D101" s="11"/>
      <c r="E101" s="11"/>
      <c r="F101" s="86"/>
      <c r="G101" s="94"/>
      <c r="H101" s="193" t="s">
        <v>86</v>
      </c>
      <c r="I101" s="85">
        <f>B101</f>
        <v>100</v>
      </c>
      <c r="J101" s="11"/>
      <c r="K101" s="11"/>
      <c r="L101" s="11"/>
      <c r="M101" s="86"/>
      <c r="N101" s="94"/>
      <c r="O101" s="94"/>
      <c r="P101" s="94"/>
      <c r="Q101" s="94"/>
      <c r="R101" s="94"/>
      <c r="S101" s="94"/>
      <c r="T101" s="94"/>
      <c r="U101" s="94"/>
      <c r="V101" s="94"/>
      <c r="W101" s="94"/>
      <c r="X101" s="94"/>
      <c r="Y101" s="94"/>
      <c r="Z101" s="94"/>
    </row>
    <row r="102">
      <c r="A102" s="87" t="s">
        <v>18</v>
      </c>
      <c r="B102" s="88" t="s">
        <v>19</v>
      </c>
      <c r="C102" s="88" t="s">
        <v>20</v>
      </c>
      <c r="D102" s="88" t="s">
        <v>21</v>
      </c>
      <c r="E102" s="89" t="s">
        <v>22</v>
      </c>
      <c r="F102" s="202" t="s">
        <v>23</v>
      </c>
      <c r="G102" s="201"/>
      <c r="H102" s="87" t="s">
        <v>18</v>
      </c>
      <c r="I102" s="88" t="s">
        <v>19</v>
      </c>
      <c r="J102" s="88" t="s">
        <v>20</v>
      </c>
      <c r="K102" s="88" t="s">
        <v>21</v>
      </c>
      <c r="L102" s="89" t="s">
        <v>22</v>
      </c>
      <c r="M102" s="202" t="s">
        <v>23</v>
      </c>
      <c r="N102" s="201"/>
      <c r="O102" s="201"/>
      <c r="P102" s="201"/>
      <c r="Q102" s="201"/>
      <c r="R102" s="201"/>
      <c r="S102" s="201"/>
      <c r="T102" s="201"/>
      <c r="U102" s="201"/>
      <c r="V102" s="201"/>
      <c r="W102" s="201"/>
      <c r="X102" s="201"/>
      <c r="Y102" s="201"/>
      <c r="Z102" s="201"/>
    </row>
    <row r="103">
      <c r="A103" s="53">
        <v>1.0</v>
      </c>
      <c r="B103" s="90" t="str">
        <f> mround('WEEK 1 '!B101*1.05,5)</f>
        <v>#REF!</v>
      </c>
      <c r="C103" s="95" t="s">
        <v>33</v>
      </c>
      <c r="D103" s="74" t="s">
        <v>25</v>
      </c>
      <c r="E103" s="91"/>
      <c r="F103" s="76"/>
      <c r="G103" s="291" t="s">
        <v>90</v>
      </c>
      <c r="H103" s="53">
        <v>1.0</v>
      </c>
      <c r="I103" s="90" t="str">
        <f> mround('WEEK 1 '!I101*1.05,5)</f>
        <v>#REF!</v>
      </c>
      <c r="J103" s="95" t="s">
        <v>33</v>
      </c>
      <c r="K103" s="74" t="s">
        <v>25</v>
      </c>
      <c r="L103" s="91"/>
      <c r="M103" s="76"/>
      <c r="N103" s="94"/>
      <c r="O103" s="94"/>
      <c r="P103" s="94"/>
      <c r="Q103" s="94"/>
      <c r="R103" s="94"/>
      <c r="S103" s="94"/>
      <c r="T103" s="94"/>
      <c r="U103" s="94"/>
      <c r="V103" s="94"/>
      <c r="W103" s="94"/>
      <c r="X103" s="94"/>
      <c r="Y103" s="94"/>
      <c r="Z103" s="94"/>
    </row>
    <row r="104">
      <c r="A104" s="53">
        <v>2.0</v>
      </c>
      <c r="B104" s="90" t="str">
        <f>if('WEEK 1 '!F103&lt;8,mround('WEEK 1 '!B103*0.95,5),IF('WEEK 1 '!F103&lt;=14,MROUND('WEEK 1 '!B103*0.95,5),'WEEK 1 '!B103))</f>
        <v>#REF!</v>
      </c>
      <c r="C104" s="95" t="s">
        <v>33</v>
      </c>
      <c r="D104" s="74" t="s">
        <v>25</v>
      </c>
      <c r="E104" s="91"/>
      <c r="F104" s="76"/>
      <c r="H104" s="53">
        <v>2.0</v>
      </c>
      <c r="I104" s="90" t="str">
        <f>if('WEEK 1 '!M103&lt;5,mround('WEEK 1 '!I103*0.8,5),IF('WEEK 1 '!M103&lt;=10,MROUND('WEEK 1 '!I103*0.95,5),'WEEK 1 '!I103))</f>
        <v>#REF!</v>
      </c>
      <c r="J104" s="95" t="s">
        <v>33</v>
      </c>
      <c r="K104" s="74" t="s">
        <v>25</v>
      </c>
      <c r="L104" s="91"/>
      <c r="M104" s="76"/>
      <c r="N104" s="206"/>
      <c r="O104" s="206"/>
      <c r="P104" s="206"/>
      <c r="Q104" s="206"/>
      <c r="R104" s="206"/>
      <c r="S104" s="206"/>
      <c r="T104" s="206"/>
      <c r="U104" s="206"/>
      <c r="V104" s="206"/>
      <c r="W104" s="206"/>
      <c r="X104" s="206"/>
      <c r="Y104" s="206"/>
      <c r="Z104" s="206"/>
    </row>
    <row r="105">
      <c r="A105" s="292">
        <v>3.0</v>
      </c>
      <c r="B105" s="293" t="str">
        <f>if('WEEK 1 '!F104&lt;8,mround('WEEK 1 '!B104*0.8,5),IF('WEEK 1 '!F104&lt;=14,MROUND('WEEK 1 '!B104*0.95,5),'WEEK 1 '!B104))</f>
        <v>#REF!</v>
      </c>
      <c r="C105" s="294" t="s">
        <v>33</v>
      </c>
      <c r="D105" s="295" t="s">
        <v>25</v>
      </c>
      <c r="E105" s="296"/>
      <c r="F105" s="297"/>
      <c r="G105" s="94"/>
      <c r="H105" s="53">
        <v>3.0</v>
      </c>
      <c r="I105" s="90" t="str">
        <f>if('WEEK 1 '!M104&lt;4,mround('WEEK 1 '!I104*0.8,5),IF('WEEK 1 '!M104&lt;=10,MROUND('WEEK 1 '!I104*0.95,5),'WEEK 1 '!I104))</f>
        <v>#REF!</v>
      </c>
      <c r="J105" s="95" t="s">
        <v>33</v>
      </c>
      <c r="K105" s="74" t="s">
        <v>25</v>
      </c>
      <c r="L105" s="91"/>
      <c r="M105" s="76"/>
      <c r="N105" s="94"/>
      <c r="O105" s="94"/>
      <c r="P105" s="94"/>
      <c r="Q105" s="94"/>
      <c r="R105" s="94"/>
      <c r="S105" s="94"/>
      <c r="T105" s="94"/>
      <c r="U105" s="94"/>
      <c r="V105" s="94"/>
      <c r="W105" s="94"/>
      <c r="X105" s="94"/>
      <c r="Y105" s="94"/>
      <c r="Z105" s="94"/>
    </row>
    <row r="106">
      <c r="A106" s="298"/>
      <c r="B106" s="298"/>
      <c r="C106" s="298"/>
      <c r="D106" s="298"/>
      <c r="E106" s="298"/>
      <c r="F106" s="298"/>
      <c r="G106" s="206"/>
      <c r="H106" s="239" t="s">
        <v>91</v>
      </c>
      <c r="I106" s="299" t="str">
        <f>IF('WEEK 1 '!M103&lt;10,'WEEK 1 '!I101,IF('WEEK 1 '!M104&gt;=10,'WEEK 1 '!I104,'WEEK 1 '!I103))</f>
        <v>#REF!</v>
      </c>
      <c r="J106" s="24"/>
      <c r="K106" s="24"/>
      <c r="L106" s="24"/>
      <c r="M106" s="25"/>
      <c r="N106" s="206"/>
      <c r="O106" s="206"/>
      <c r="P106" s="206"/>
      <c r="Q106" s="206"/>
      <c r="R106" s="206"/>
      <c r="S106" s="206"/>
      <c r="T106" s="206"/>
      <c r="U106" s="206"/>
      <c r="V106" s="206"/>
      <c r="W106" s="206"/>
      <c r="X106" s="206"/>
      <c r="Y106" s="206"/>
      <c r="Z106" s="206"/>
    </row>
    <row r="107">
      <c r="A107" s="94"/>
      <c r="B107" s="94"/>
      <c r="C107" s="94"/>
      <c r="D107" s="94"/>
      <c r="E107" s="189"/>
      <c r="F107" s="94"/>
      <c r="G107" s="94"/>
      <c r="H107" s="94"/>
      <c r="I107" s="94"/>
      <c r="J107" s="94"/>
      <c r="K107" s="94"/>
      <c r="L107" s="189"/>
      <c r="M107" s="94"/>
      <c r="N107" s="94"/>
      <c r="O107" s="94"/>
      <c r="P107" s="94"/>
      <c r="Q107" s="94"/>
      <c r="R107" s="94"/>
      <c r="S107" s="94"/>
      <c r="T107" s="94"/>
      <c r="U107" s="94"/>
      <c r="V107" s="94"/>
      <c r="W107" s="94"/>
      <c r="X107" s="94"/>
      <c r="Y107" s="94"/>
      <c r="Z107" s="94"/>
    </row>
    <row r="108">
      <c r="A108" s="94"/>
      <c r="B108" s="94"/>
      <c r="C108" s="94"/>
      <c r="D108" s="94"/>
      <c r="E108" s="189"/>
      <c r="F108" s="94"/>
      <c r="G108" s="94"/>
      <c r="N108" s="94"/>
      <c r="O108" s="94"/>
      <c r="P108" s="94"/>
      <c r="Q108" s="94"/>
      <c r="R108" s="94"/>
      <c r="S108" s="94"/>
      <c r="T108" s="94"/>
      <c r="U108" s="94"/>
      <c r="V108" s="94"/>
      <c r="W108" s="94"/>
      <c r="X108" s="94"/>
      <c r="Y108" s="94"/>
      <c r="Z108" s="94"/>
    </row>
    <row r="109">
      <c r="A109" s="300" t="s">
        <v>30</v>
      </c>
      <c r="B109" s="16"/>
      <c r="C109" s="16"/>
      <c r="D109" s="16"/>
      <c r="E109" s="16"/>
      <c r="F109" s="17"/>
      <c r="G109" s="94"/>
      <c r="N109" s="94"/>
      <c r="O109" s="94"/>
      <c r="P109" s="94"/>
      <c r="Q109" s="94"/>
      <c r="R109" s="94"/>
      <c r="S109" s="94"/>
      <c r="T109" s="94"/>
      <c r="U109" s="94"/>
      <c r="V109" s="94"/>
      <c r="W109" s="94"/>
      <c r="X109" s="94"/>
      <c r="Y109" s="94"/>
      <c r="Z109" s="94"/>
    </row>
    <row r="110">
      <c r="A110" s="301"/>
      <c r="B110" s="16"/>
      <c r="C110" s="16"/>
      <c r="D110" s="16"/>
      <c r="E110" s="16"/>
      <c r="F110" s="16"/>
      <c r="G110" s="94"/>
      <c r="H110" s="302" t="str">
        <f>HYPERLINK("https://www.youtube.com/watch?v=qrv8cCA-WCY","WATCH THIS BEFORE MACHINE PRESS")</f>
        <v>WATCH THIS BEFORE MACHINE PRESS</v>
      </c>
      <c r="I110" s="16"/>
      <c r="J110" s="16"/>
      <c r="K110" s="16"/>
      <c r="L110" s="16"/>
      <c r="M110" s="17"/>
      <c r="N110" s="94"/>
      <c r="O110" s="94"/>
      <c r="P110" s="94"/>
      <c r="Q110" s="94"/>
      <c r="R110" s="94"/>
      <c r="S110" s="94"/>
      <c r="T110" s="94"/>
      <c r="U110" s="94"/>
      <c r="V110" s="94"/>
      <c r="W110" s="94"/>
      <c r="X110" s="94"/>
      <c r="Y110" s="94"/>
      <c r="Z110" s="94"/>
    </row>
    <row r="111">
      <c r="A111" s="2"/>
      <c r="B111" s="2"/>
      <c r="C111" s="2"/>
      <c r="D111" s="2"/>
      <c r="E111" s="2"/>
      <c r="F111" s="2"/>
      <c r="G111" s="94"/>
      <c r="H111" s="303"/>
      <c r="I111" s="2"/>
      <c r="J111" s="2"/>
      <c r="K111" s="2"/>
      <c r="L111" s="2"/>
      <c r="M111" s="37"/>
      <c r="N111" s="94"/>
      <c r="O111" s="94"/>
      <c r="P111" s="94"/>
      <c r="Q111" s="94"/>
      <c r="R111" s="94"/>
      <c r="S111" s="94"/>
      <c r="T111" s="94"/>
      <c r="U111" s="94"/>
      <c r="V111" s="94"/>
      <c r="W111" s="94"/>
      <c r="X111" s="94"/>
      <c r="Y111" s="94"/>
      <c r="Z111" s="94"/>
    </row>
    <row r="112">
      <c r="A112" s="179" t="s">
        <v>98</v>
      </c>
      <c r="F112" s="19"/>
      <c r="G112" s="94"/>
      <c r="H112" s="304" t="s">
        <v>98</v>
      </c>
      <c r="I112" s="27"/>
      <c r="J112" s="27"/>
      <c r="K112" s="27"/>
      <c r="L112" s="27"/>
      <c r="M112" s="28"/>
      <c r="N112" s="94"/>
      <c r="O112" s="94"/>
      <c r="P112" s="94"/>
      <c r="Q112" s="94"/>
      <c r="R112" s="94"/>
      <c r="S112" s="94"/>
      <c r="T112" s="94"/>
      <c r="U112" s="94"/>
      <c r="V112" s="94"/>
      <c r="W112" s="94"/>
      <c r="X112" s="94"/>
      <c r="Y112" s="94"/>
      <c r="Z112" s="94"/>
    </row>
    <row r="113">
      <c r="A113" s="103" t="str">
        <f>HYPERLINK("https://www.youtube.com/watch?v=rmxOkkd2hUk","1. SHOULDER PRESS")</f>
        <v>1. SHOULDER PRESS</v>
      </c>
      <c r="B113" s="4"/>
      <c r="C113" s="4"/>
      <c r="D113" s="4"/>
      <c r="E113" s="4"/>
      <c r="F113" s="48"/>
      <c r="G113" s="305"/>
      <c r="H113" s="306" t="str">
        <f>HYPERLINK("https://www.youtube.com/watch?v=-cSBPE-y38M","1.MACHINE SHOULDER PRESS")</f>
        <v>1.MACHINE SHOULDER PRESS</v>
      </c>
      <c r="I113" s="44"/>
      <c r="J113" s="44"/>
      <c r="K113" s="44"/>
      <c r="L113" s="44"/>
      <c r="M113" s="45"/>
      <c r="N113" s="307"/>
      <c r="O113" s="94"/>
      <c r="P113" s="94"/>
      <c r="Q113" s="94"/>
      <c r="R113" s="94"/>
      <c r="S113" s="94"/>
      <c r="T113" s="94"/>
      <c r="U113" s="94"/>
      <c r="V113" s="94"/>
      <c r="W113" s="94"/>
      <c r="X113" s="94"/>
      <c r="Y113" s="94"/>
      <c r="Z113" s="94"/>
    </row>
    <row r="114">
      <c r="A114" s="193" t="s">
        <v>86</v>
      </c>
      <c r="B114" s="194">
        <v>100.0</v>
      </c>
      <c r="C114" s="11"/>
      <c r="D114" s="11"/>
      <c r="E114" s="11"/>
      <c r="F114" s="86"/>
      <c r="G114" s="94"/>
      <c r="H114" s="87" t="s">
        <v>18</v>
      </c>
      <c r="I114" s="88" t="s">
        <v>19</v>
      </c>
      <c r="J114" s="88" t="s">
        <v>20</v>
      </c>
      <c r="K114" s="88" t="s">
        <v>21</v>
      </c>
      <c r="L114" s="308" t="s">
        <v>22</v>
      </c>
      <c r="M114" s="202" t="s">
        <v>23</v>
      </c>
      <c r="N114" s="307"/>
      <c r="O114" s="94"/>
      <c r="P114" s="94"/>
      <c r="Q114" s="94"/>
      <c r="R114" s="94"/>
      <c r="S114" s="94"/>
      <c r="T114" s="94"/>
      <c r="U114" s="94"/>
      <c r="V114" s="94"/>
      <c r="W114" s="94"/>
      <c r="X114" s="94"/>
      <c r="Y114" s="94"/>
      <c r="Z114" s="94"/>
    </row>
    <row r="115">
      <c r="A115" s="198" t="s">
        <v>18</v>
      </c>
      <c r="B115" s="199" t="s">
        <v>19</v>
      </c>
      <c r="C115" s="199" t="s">
        <v>20</v>
      </c>
      <c r="D115" s="199" t="s">
        <v>21</v>
      </c>
      <c r="E115" s="200" t="s">
        <v>22</v>
      </c>
      <c r="F115" s="52" t="s">
        <v>23</v>
      </c>
      <c r="G115" s="201"/>
      <c r="H115" s="309">
        <v>1.0</v>
      </c>
      <c r="I115" s="310">
        <f>MROUND('Copy of DETERMINING MAX WEEK'!E167*0.5,10)</f>
        <v>40</v>
      </c>
      <c r="J115" s="311">
        <v>10.0</v>
      </c>
      <c r="K115" s="312" t="s">
        <v>89</v>
      </c>
      <c r="L115" s="313"/>
      <c r="M115" s="76"/>
      <c r="N115" s="314"/>
      <c r="O115" s="201"/>
      <c r="P115" s="201"/>
      <c r="Q115" s="201"/>
      <c r="R115" s="201"/>
      <c r="S115" s="201"/>
      <c r="T115" s="201"/>
      <c r="U115" s="201"/>
      <c r="V115" s="201"/>
      <c r="W115" s="201"/>
      <c r="X115" s="201"/>
      <c r="Y115" s="201"/>
      <c r="Z115" s="201"/>
    </row>
    <row r="116">
      <c r="A116" s="203">
        <v>1.0</v>
      </c>
      <c r="B116" s="204" t="str">
        <f>mround('WEEK 1 '!B114*0.35,5)</f>
        <v>#REF!</v>
      </c>
      <c r="C116" s="204">
        <v>6.0</v>
      </c>
      <c r="D116" s="205" t="s">
        <v>87</v>
      </c>
      <c r="E116" s="57"/>
      <c r="F116" s="58"/>
      <c r="G116" s="206"/>
      <c r="H116" s="309">
        <v>2.0</v>
      </c>
      <c r="I116" s="315">
        <f t="shared" ref="I116:I117" si="1">mround(I115+20,5)</f>
        <v>60</v>
      </c>
      <c r="J116" s="311">
        <v>10.0</v>
      </c>
      <c r="K116" s="312" t="s">
        <v>89</v>
      </c>
      <c r="L116" s="313"/>
      <c r="M116" s="76"/>
      <c r="N116" s="316"/>
      <c r="O116" s="206"/>
      <c r="P116" s="206"/>
      <c r="Q116" s="206"/>
      <c r="R116" s="206"/>
      <c r="S116" s="206"/>
      <c r="T116" s="206"/>
      <c r="U116" s="206"/>
      <c r="V116" s="206"/>
      <c r="W116" s="206"/>
      <c r="X116" s="206"/>
      <c r="Y116" s="206"/>
      <c r="Z116" s="206"/>
    </row>
    <row r="117">
      <c r="A117" s="203">
        <v>2.0</v>
      </c>
      <c r="B117" s="204" t="str">
        <f>mround('WEEK 1 '!B114*0.65,5)</f>
        <v>#REF!</v>
      </c>
      <c r="C117" s="204">
        <v>1.0</v>
      </c>
      <c r="D117" s="205" t="s">
        <v>88</v>
      </c>
      <c r="E117" s="57"/>
      <c r="F117" s="58"/>
      <c r="G117" s="206"/>
      <c r="H117" s="309">
        <v>3.0</v>
      </c>
      <c r="I117" s="315">
        <f t="shared" si="1"/>
        <v>80</v>
      </c>
      <c r="J117" s="311">
        <v>10.0</v>
      </c>
      <c r="K117" s="312" t="s">
        <v>89</v>
      </c>
      <c r="L117" s="313"/>
      <c r="M117" s="76"/>
      <c r="N117" s="316"/>
      <c r="O117" s="206"/>
      <c r="P117" s="206"/>
      <c r="Q117" s="206"/>
      <c r="R117" s="206"/>
      <c r="S117" s="206"/>
      <c r="T117" s="206"/>
      <c r="U117" s="206"/>
      <c r="V117" s="206"/>
      <c r="W117" s="206"/>
      <c r="X117" s="206"/>
      <c r="Y117" s="206"/>
      <c r="Z117" s="206"/>
    </row>
    <row r="118">
      <c r="A118" s="209">
        <v>3.0</v>
      </c>
      <c r="B118" s="204" t="str">
        <f>mround('WEEK 1 '!B114*0.9,5)</f>
        <v>#REF!</v>
      </c>
      <c r="C118" s="73">
        <v>1.0</v>
      </c>
      <c r="D118" s="205" t="s">
        <v>88</v>
      </c>
      <c r="E118" s="57"/>
      <c r="F118" s="58"/>
      <c r="G118" s="206"/>
      <c r="H118" s="309">
        <v>4.0</v>
      </c>
      <c r="I118" s="315">
        <f t="shared" ref="I118:I119" si="2">mround(I117+10,5)</f>
        <v>90</v>
      </c>
      <c r="J118" s="311">
        <v>10.0</v>
      </c>
      <c r="K118" s="312" t="s">
        <v>89</v>
      </c>
      <c r="L118" s="313"/>
      <c r="M118" s="76"/>
      <c r="N118" s="316"/>
      <c r="O118" s="206"/>
      <c r="P118" s="206"/>
      <c r="Q118" s="206"/>
      <c r="R118" s="206"/>
      <c r="S118" s="206"/>
      <c r="T118" s="206"/>
      <c r="U118" s="206"/>
      <c r="V118" s="206"/>
      <c r="W118" s="206"/>
      <c r="X118" s="206"/>
      <c r="Y118" s="206"/>
      <c r="Z118" s="206"/>
    </row>
    <row r="119">
      <c r="A119" s="210">
        <v>4.0</v>
      </c>
      <c r="B119" s="204" t="str">
        <f>'WEEK 1 '!B114</f>
        <v>#REF!</v>
      </c>
      <c r="C119" s="224">
        <v>1.0</v>
      </c>
      <c r="D119" s="205" t="s">
        <v>89</v>
      </c>
      <c r="E119" s="57"/>
      <c r="F119" s="58"/>
      <c r="G119" s="94"/>
      <c r="H119" s="309">
        <v>5.0</v>
      </c>
      <c r="I119" s="315">
        <f t="shared" si="2"/>
        <v>100</v>
      </c>
      <c r="J119" s="311">
        <v>10.0</v>
      </c>
      <c r="K119" s="312" t="s">
        <v>89</v>
      </c>
      <c r="L119" s="313"/>
      <c r="M119" s="76"/>
      <c r="N119" s="307"/>
      <c r="O119" s="94"/>
      <c r="P119" s="94"/>
      <c r="Q119" s="94"/>
      <c r="R119" s="94"/>
      <c r="S119" s="94"/>
      <c r="T119" s="94"/>
      <c r="U119" s="94"/>
      <c r="V119" s="94"/>
      <c r="W119" s="94"/>
      <c r="X119" s="94"/>
      <c r="Y119" s="94"/>
      <c r="Z119" s="94"/>
    </row>
    <row r="120">
      <c r="A120" s="213" t="str">
        <f>IF('WEEK 1 '!F119&lt;1,"PROCEED TO DOWN SETS","NEW 4 REP MAX ATTEMPT")</f>
        <v>#REF!</v>
      </c>
      <c r="B120" s="11"/>
      <c r="C120" s="11"/>
      <c r="D120" s="11"/>
      <c r="E120" s="11"/>
      <c r="F120" s="86"/>
      <c r="G120" s="206"/>
      <c r="H120" s="309">
        <v>6.0</v>
      </c>
      <c r="I120" s="317">
        <f>I119+10</f>
        <v>110</v>
      </c>
      <c r="J120" s="311">
        <v>10.0</v>
      </c>
      <c r="K120" s="312" t="s">
        <v>89</v>
      </c>
      <c r="L120" s="318"/>
      <c r="M120" s="76"/>
      <c r="N120" s="316"/>
      <c r="O120" s="206"/>
      <c r="P120" s="206"/>
      <c r="Q120" s="206"/>
      <c r="R120" s="206"/>
      <c r="S120" s="206"/>
      <c r="T120" s="206"/>
      <c r="U120" s="206"/>
      <c r="V120" s="206"/>
      <c r="W120" s="206"/>
      <c r="X120" s="206"/>
      <c r="Y120" s="206"/>
      <c r="Z120" s="206"/>
    </row>
    <row r="121">
      <c r="A121" s="216" t="str">
        <f>IF(OR(ISBLANK('WEEK 1 '!F119),ISBLANK('WEEK 1 '!F118),ISBLANK('WEEK 1 '!F117)), "",if('WEEK 1 '!F119&lt;1,"",5))</f>
        <v>#REF!</v>
      </c>
      <c r="B121" s="142" t="str">
        <f>IF('WEEK 1 '!F119&lt;1,"",'WEEK 1 '!B119+5)</f>
        <v>#REF!</v>
      </c>
      <c r="C121" s="205" t="str">
        <f>if('WEEK 1 '!F119&lt;1,"",4)</f>
        <v>#REF!</v>
      </c>
      <c r="D121" s="205" t="str">
        <f>if('WEEK 1 '!F119&lt;1,"","1-5 MIN")</f>
        <v>#REF!</v>
      </c>
      <c r="E121" s="217"/>
      <c r="F121" s="58"/>
      <c r="G121" s="243"/>
      <c r="H121" s="319">
        <v>7.0</v>
      </c>
      <c r="I121" s="320">
        <f>mround(I120+10,5)</f>
        <v>120</v>
      </c>
      <c r="J121" s="321">
        <v>10.0</v>
      </c>
      <c r="K121" s="322" t="s">
        <v>89</v>
      </c>
      <c r="L121" s="323"/>
      <c r="M121" s="76"/>
      <c r="N121" s="307"/>
      <c r="O121" s="94"/>
      <c r="P121" s="94"/>
      <c r="Q121" s="94"/>
      <c r="R121" s="94"/>
      <c r="S121" s="94"/>
      <c r="T121" s="94"/>
      <c r="U121" s="94"/>
      <c r="V121" s="94"/>
      <c r="W121" s="94"/>
      <c r="X121" s="94"/>
      <c r="Y121" s="94"/>
      <c r="Z121" s="94"/>
    </row>
    <row r="122">
      <c r="A122" s="226" t="str">
        <f>IF(OR(ISBLANK('WEEK 1 '!F118),ISBLANK('WEEK 1 '!F119),ISBLANK('WEEK 1 '!F121)), "",IF('WEEK 1 '!F121&lt;4,"","6"))</f>
        <v>#REF!</v>
      </c>
      <c r="B122" s="204" t="str">
        <f>IF(OR(ISBLANK('WEEK 1 '!F118),ISBLANK('WEEK 1 '!F119),ISBLANK('WEEK 1 '!F121)), "",IF('WEEK 1 '!F121&lt;4,"",'WEEK 1 '!B121+5))</f>
        <v>#REF!</v>
      </c>
      <c r="C122" s="224" t="str">
        <f>IF(OR(ISBLANK('WEEK 1 '!F118),ISBLANK('WEEK 1 '!F119),ISBLANK('WEEK 1 '!F121)), "",IF('WEEK 1 '!F121&lt;4,"","4"))</f>
        <v>#REF!</v>
      </c>
      <c r="D122" s="224" t="str">
        <f>IF(OR(ISBLANK('WEEK 1 '!F118),ISBLANK('WEEK 1 '!F119),ISBLANK('WEEK 1 '!F121)), "",IF('WEEK 1 '!F121&lt;4,"","1-5 MIN"))</f>
        <v>#REF!</v>
      </c>
      <c r="E122" s="225"/>
      <c r="F122" s="58"/>
      <c r="G122" s="206"/>
      <c r="H122" s="324" t="s">
        <v>99</v>
      </c>
      <c r="I122" s="325"/>
      <c r="J122" s="27"/>
      <c r="K122" s="27"/>
      <c r="L122" s="27"/>
      <c r="M122" s="28"/>
      <c r="N122" s="316"/>
      <c r="O122" s="206"/>
      <c r="P122" s="206"/>
      <c r="Q122" s="206"/>
      <c r="R122" s="206"/>
      <c r="S122" s="206"/>
      <c r="T122" s="206"/>
      <c r="U122" s="206"/>
      <c r="V122" s="206"/>
      <c r="W122" s="206"/>
      <c r="X122" s="206"/>
      <c r="Y122" s="206"/>
      <c r="Z122" s="206"/>
    </row>
    <row r="123">
      <c r="A123" s="213" t="s">
        <v>100</v>
      </c>
      <c r="B123" s="11"/>
      <c r="C123" s="11"/>
      <c r="D123" s="11"/>
      <c r="E123" s="11"/>
      <c r="F123" s="86"/>
      <c r="G123" s="206"/>
      <c r="H123" s="206"/>
      <c r="I123" s="316"/>
      <c r="J123" s="316"/>
      <c r="K123" s="316"/>
      <c r="L123" s="326"/>
      <c r="M123" s="316"/>
      <c r="N123" s="316"/>
      <c r="O123" s="206"/>
      <c r="P123" s="206"/>
      <c r="Q123" s="206"/>
      <c r="R123" s="206"/>
      <c r="S123" s="206"/>
      <c r="T123" s="206"/>
      <c r="U123" s="206"/>
      <c r="V123" s="206"/>
      <c r="W123" s="206"/>
      <c r="X123" s="206"/>
      <c r="Y123" s="206"/>
      <c r="Z123" s="206"/>
    </row>
    <row r="124">
      <c r="A124" s="231" t="str">
        <f>IF(OR(ISBLANK('WEEK 1 '!F119),ISBLANK('WEEK 1 '!F118),ISBLANK('WEEK 1 '!F117)),"",IF((AND(A121="",A122="")),5,IF((AND(A121&gt;1,A122="")),6,7)))</f>
        <v>#REF!</v>
      </c>
      <c r="B124" s="232" t="str">
        <f>MROUND('WEEK 1 '!B126*0.9,5)</f>
        <v>#REF!</v>
      </c>
      <c r="C124" s="233" t="s">
        <v>33</v>
      </c>
      <c r="D124" s="234" t="s">
        <v>94</v>
      </c>
      <c r="E124" s="235"/>
      <c r="F124" s="58"/>
      <c r="G124" s="206"/>
      <c r="H124" s="206"/>
      <c r="I124" s="316"/>
      <c r="J124" s="316"/>
      <c r="K124" s="316"/>
      <c r="L124" s="326"/>
      <c r="M124" s="316"/>
      <c r="N124" s="316"/>
      <c r="O124" s="206"/>
      <c r="P124" s="206"/>
      <c r="Q124" s="206"/>
      <c r="R124" s="206"/>
      <c r="S124" s="206"/>
      <c r="T124" s="206"/>
      <c r="U124" s="206"/>
      <c r="V124" s="206"/>
      <c r="W124" s="206"/>
      <c r="X124" s="206"/>
      <c r="Y124" s="206"/>
      <c r="Z124" s="206"/>
    </row>
    <row r="125">
      <c r="A125" s="210" t="str">
        <f>IF(OR(ISBLANK('WEEK 1 '!F119),ISBLANK('WEEK 1 '!F118),ISBLANK('WEEK 1 '!F117)),"",IF((AND(A121="",A122="")),6,IF((AND(A121&gt;1,A122="")),7,8)))</f>
        <v>#REF!</v>
      </c>
      <c r="B125" s="204" t="str">
        <f>mround('WEEK 1 '!B126*0.78,5)</f>
        <v>#REF!</v>
      </c>
      <c r="C125" s="212" t="s">
        <v>33</v>
      </c>
      <c r="D125" s="56" t="s">
        <v>94</v>
      </c>
      <c r="E125" s="225"/>
      <c r="F125" s="238"/>
      <c r="G125" s="94"/>
      <c r="H125" s="94"/>
      <c r="I125" s="307"/>
      <c r="J125" s="307"/>
      <c r="K125" s="307"/>
      <c r="L125" s="270"/>
      <c r="M125" s="307"/>
      <c r="N125" s="307"/>
      <c r="O125" s="94"/>
      <c r="P125" s="94"/>
      <c r="Q125" s="94"/>
      <c r="R125" s="94"/>
      <c r="S125" s="94"/>
      <c r="T125" s="94"/>
      <c r="U125" s="94"/>
      <c r="V125" s="94"/>
      <c r="W125" s="94"/>
      <c r="X125" s="94"/>
      <c r="Y125" s="94"/>
      <c r="Z125" s="94"/>
    </row>
    <row r="126">
      <c r="A126" s="239" t="s">
        <v>91</v>
      </c>
      <c r="B126" s="240" t="str">
        <f>IF(OR(ISBLANK('WEEK 1 '!F119),ISBLANK('WEEK 1 '!F118),ISBLANK('WEEK 1 '!F117)),"",IF('WEEK 1 '!F122&gt;=1,'WEEK 1 '!B122,IF('WEEK 1 '!F121&gt;=4,'WEEK 1 '!B121,IF('WEEK 1 '!F119&lt;1,'WEEK 1 '!B119-5,'WEEK 1 '!B119))))</f>
        <v>#REF!</v>
      </c>
      <c r="C126" s="2"/>
      <c r="D126" s="2"/>
      <c r="E126" s="2"/>
      <c r="F126" s="37"/>
      <c r="G126" s="94"/>
      <c r="H126" s="94"/>
      <c r="I126" s="94"/>
      <c r="J126" s="94"/>
      <c r="K126" s="94"/>
      <c r="L126" s="189"/>
      <c r="M126" s="94"/>
      <c r="N126" s="94"/>
      <c r="O126" s="94"/>
      <c r="P126" s="94"/>
      <c r="Q126" s="94"/>
      <c r="R126" s="94"/>
      <c r="S126" s="94"/>
      <c r="T126" s="94"/>
      <c r="U126" s="94"/>
      <c r="V126" s="94"/>
      <c r="W126" s="94"/>
      <c r="X126" s="94"/>
      <c r="Y126" s="94"/>
      <c r="Z126" s="94"/>
    </row>
    <row r="127">
      <c r="A127" s="244"/>
      <c r="B127" s="244"/>
      <c r="C127" s="244"/>
      <c r="D127" s="244"/>
      <c r="E127" s="327"/>
      <c r="F127" s="94"/>
      <c r="G127" s="94"/>
      <c r="H127" s="94"/>
      <c r="I127" s="94"/>
      <c r="J127" s="94"/>
      <c r="K127" s="94"/>
      <c r="L127" s="189"/>
      <c r="M127" s="94"/>
      <c r="N127" s="94"/>
      <c r="O127" s="94"/>
      <c r="P127" s="94"/>
      <c r="Q127" s="94"/>
      <c r="R127" s="94"/>
      <c r="S127" s="94"/>
      <c r="T127" s="94"/>
      <c r="U127" s="94"/>
      <c r="V127" s="94"/>
      <c r="W127" s="94"/>
      <c r="X127" s="94"/>
      <c r="Y127" s="94"/>
      <c r="Z127" s="94"/>
    </row>
    <row r="128">
      <c r="A128" s="328" t="str">
        <f>HYPERLINK("https://www.youtube.com/watch?v=gxWVN6F_uxo","2. CABLE HIGH PULLEY ROW")</f>
        <v>2. CABLE HIGH PULLEY ROW</v>
      </c>
      <c r="B128" s="44"/>
      <c r="C128" s="44"/>
      <c r="D128" s="44"/>
      <c r="E128" s="44"/>
      <c r="F128" s="45"/>
      <c r="G128" s="94"/>
      <c r="H128" s="65" t="str">
        <f>HYPERLINK("https://youtu.be/0BaHgGyCFJY","2. MACHINE REAR DELT FLYS ")</f>
        <v>2. MACHINE REAR DELT FLYS </v>
      </c>
      <c r="I128" s="44"/>
      <c r="J128" s="44"/>
      <c r="K128" s="44"/>
      <c r="L128" s="44"/>
      <c r="M128" s="45"/>
      <c r="N128" s="94"/>
      <c r="O128" s="94"/>
      <c r="P128" s="94"/>
      <c r="Q128" s="94"/>
      <c r="R128" s="94"/>
      <c r="S128" s="94"/>
      <c r="T128" s="94"/>
      <c r="U128" s="94"/>
      <c r="V128" s="94"/>
      <c r="W128" s="94"/>
      <c r="X128" s="94"/>
      <c r="Y128" s="94"/>
      <c r="Z128" s="94"/>
    </row>
    <row r="129">
      <c r="A129" s="193" t="s">
        <v>101</v>
      </c>
      <c r="B129" s="81" t="str">
        <f>B126</f>
        <v>#REF!</v>
      </c>
      <c r="C129" s="4"/>
      <c r="D129" s="4"/>
      <c r="E129" s="4"/>
      <c r="F129" s="48"/>
      <c r="G129" s="291" t="s">
        <v>90</v>
      </c>
      <c r="H129" s="329" t="s">
        <v>86</v>
      </c>
      <c r="I129" s="330" t="str">
        <f>B126</f>
        <v>#REF!</v>
      </c>
      <c r="J129" s="11"/>
      <c r="K129" s="11"/>
      <c r="L129" s="11"/>
      <c r="M129" s="86"/>
      <c r="N129" s="94"/>
      <c r="O129" s="94"/>
      <c r="P129" s="94"/>
      <c r="Q129" s="94"/>
      <c r="R129" s="94"/>
      <c r="S129" s="94"/>
      <c r="T129" s="94"/>
      <c r="U129" s="94"/>
      <c r="V129" s="94"/>
      <c r="W129" s="94"/>
      <c r="X129" s="94"/>
      <c r="Y129" s="94"/>
      <c r="Z129" s="94"/>
    </row>
    <row r="130">
      <c r="A130" s="68" t="s">
        <v>18</v>
      </c>
      <c r="B130" s="69" t="s">
        <v>19</v>
      </c>
      <c r="C130" s="69" t="s">
        <v>20</v>
      </c>
      <c r="D130" s="69" t="s">
        <v>21</v>
      </c>
      <c r="E130" s="71" t="s">
        <v>22</v>
      </c>
      <c r="F130" s="202" t="s">
        <v>23</v>
      </c>
      <c r="H130" s="331" t="s">
        <v>18</v>
      </c>
      <c r="I130" s="332" t="s">
        <v>19</v>
      </c>
      <c r="J130" s="332" t="s">
        <v>20</v>
      </c>
      <c r="K130" s="333" t="s">
        <v>21</v>
      </c>
      <c r="L130" s="334" t="s">
        <v>22</v>
      </c>
      <c r="M130" s="52" t="s">
        <v>23</v>
      </c>
      <c r="N130" s="201"/>
      <c r="O130" s="201"/>
      <c r="P130" s="201"/>
      <c r="Q130" s="201"/>
      <c r="R130" s="201"/>
      <c r="S130" s="201"/>
      <c r="T130" s="201"/>
      <c r="U130" s="201"/>
      <c r="V130" s="201"/>
      <c r="W130" s="201"/>
      <c r="X130" s="201"/>
      <c r="Y130" s="201"/>
      <c r="Z130" s="201"/>
    </row>
    <row r="131">
      <c r="A131" s="72">
        <v>1.0</v>
      </c>
      <c r="B131" s="73" t="str">
        <f> mround('WEEK 1 '!B129*2*0.7,5)</f>
        <v>#REF!</v>
      </c>
      <c r="C131" s="284">
        <v>15.0</v>
      </c>
      <c r="D131" s="74" t="s">
        <v>94</v>
      </c>
      <c r="E131" s="75" t="str">
        <f t="shared" ref="E131:E133" si="3">IF('WEEK 1 '!B131=B131,'WEEK 1 '!F131,"")</f>
        <v>#REF!</v>
      </c>
      <c r="F131" s="76"/>
      <c r="G131" s="206"/>
      <c r="H131" s="209">
        <v>1.0</v>
      </c>
      <c r="I131" s="204" t="str">
        <f>mround('WEEK 1 '!I129*2*0.75,5)</f>
        <v>#REF!</v>
      </c>
      <c r="J131" s="335">
        <v>20.0</v>
      </c>
      <c r="K131" s="205" t="s">
        <v>25</v>
      </c>
      <c r="L131" s="336"/>
      <c r="M131" s="58"/>
      <c r="N131" s="206"/>
      <c r="O131" s="206"/>
      <c r="P131" s="206"/>
      <c r="Q131" s="206"/>
      <c r="R131" s="206"/>
      <c r="S131" s="206"/>
      <c r="T131" s="206"/>
      <c r="U131" s="206"/>
      <c r="V131" s="206"/>
      <c r="W131" s="206"/>
      <c r="X131" s="206"/>
      <c r="Y131" s="206"/>
      <c r="Z131" s="206"/>
    </row>
    <row r="132">
      <c r="A132" s="72">
        <v>2.0</v>
      </c>
      <c r="B132" s="73" t="str">
        <f>if('WEEK 1 '!F131&lt;10,mround('WEEK 1 '!B131*0.8,5),IF('WEEK 1 '!F131&lt;=14,MROUND('WEEK 1 '!B131*0.95,5),'WEEK 1 '!B131))</f>
        <v>#REF!</v>
      </c>
      <c r="C132" s="56">
        <v>15.0</v>
      </c>
      <c r="D132" s="74" t="s">
        <v>94</v>
      </c>
      <c r="E132" s="75" t="str">
        <f t="shared" si="3"/>
        <v>#REF!</v>
      </c>
      <c r="F132" s="76"/>
      <c r="G132" s="206"/>
      <c r="H132" s="209">
        <v>2.0</v>
      </c>
      <c r="I132" s="204" t="str">
        <f>if('WEEK 1 '!M131&lt;15,mround(I129*0.65,5),I131)</f>
        <v>#REF!</v>
      </c>
      <c r="J132" s="335">
        <v>20.0</v>
      </c>
      <c r="K132" s="205" t="s">
        <v>25</v>
      </c>
      <c r="L132" s="336"/>
      <c r="M132" s="58"/>
      <c r="N132" s="206"/>
      <c r="O132" s="206"/>
      <c r="P132" s="206"/>
      <c r="Q132" s="206"/>
      <c r="R132" s="206"/>
      <c r="S132" s="206"/>
      <c r="T132" s="206"/>
      <c r="U132" s="206"/>
      <c r="V132" s="206"/>
      <c r="W132" s="206"/>
      <c r="X132" s="206"/>
      <c r="Y132" s="206"/>
      <c r="Z132" s="206"/>
    </row>
    <row r="133">
      <c r="A133" s="77">
        <v>3.0</v>
      </c>
      <c r="B133" s="78" t="str">
        <f>if('WEEK 1 '!F132&lt;8,mround('WEEK 1 '!B132*0.8,5),IF('WEEK 1 '!F132&lt;=14,MROUND('WEEK 1 '!B132*0.95,5),'WEEK 1 '!B132))</f>
        <v>#REF!</v>
      </c>
      <c r="C133" s="62">
        <v>15.0</v>
      </c>
      <c r="D133" s="79" t="s">
        <v>94</v>
      </c>
      <c r="E133" s="80" t="str">
        <f t="shared" si="3"/>
        <v>#REF!</v>
      </c>
      <c r="F133" s="76"/>
      <c r="G133" s="337"/>
      <c r="H133" s="256">
        <v>3.0</v>
      </c>
      <c r="I133" s="338" t="str">
        <f>if('WEEK 1 '!M132&lt;15,mround('WEEK 1 '!I132*0.7,5),MROUND('WEEK 1 '!I132,5))</f>
        <v>#REF!</v>
      </c>
      <c r="J133" s="339">
        <v>20.0</v>
      </c>
      <c r="K133" s="340" t="s">
        <v>25</v>
      </c>
      <c r="L133" s="341"/>
      <c r="M133" s="58"/>
      <c r="N133" s="206"/>
      <c r="O133" s="206"/>
      <c r="P133" s="206"/>
      <c r="Q133" s="206"/>
      <c r="R133" s="206"/>
      <c r="S133" s="206"/>
      <c r="T133" s="206"/>
      <c r="U133" s="206"/>
      <c r="V133" s="206"/>
      <c r="W133" s="206"/>
      <c r="X133" s="206"/>
      <c r="Y133" s="206"/>
      <c r="Z133" s="206"/>
    </row>
    <row r="134">
      <c r="A134" s="307"/>
      <c r="B134" s="307"/>
      <c r="C134" s="307"/>
      <c r="D134" s="307"/>
      <c r="E134" s="270"/>
      <c r="F134" s="94"/>
      <c r="G134" s="94"/>
      <c r="H134" s="94"/>
      <c r="I134" s="94"/>
      <c r="J134" s="94"/>
      <c r="K134" s="94"/>
      <c r="L134" s="189"/>
      <c r="M134" s="94"/>
      <c r="N134" s="94"/>
      <c r="O134" s="94"/>
      <c r="P134" s="94"/>
      <c r="Q134" s="94"/>
      <c r="R134" s="94"/>
      <c r="S134" s="94"/>
      <c r="T134" s="94"/>
      <c r="U134" s="94"/>
      <c r="V134" s="94"/>
      <c r="W134" s="94"/>
      <c r="X134" s="94"/>
      <c r="Y134" s="94"/>
      <c r="Z134" s="94"/>
    </row>
    <row r="135">
      <c r="A135" s="307"/>
      <c r="B135" s="307"/>
      <c r="C135" s="307"/>
      <c r="D135" s="307"/>
      <c r="E135" s="270"/>
      <c r="F135" s="94"/>
      <c r="G135" s="94"/>
      <c r="H135" s="94"/>
      <c r="I135" s="94"/>
      <c r="J135" s="94"/>
      <c r="K135" s="94"/>
      <c r="L135" s="189"/>
      <c r="M135" s="94"/>
      <c r="N135" s="94"/>
      <c r="O135" s="94"/>
      <c r="P135" s="94"/>
      <c r="Q135" s="94"/>
      <c r="R135" s="94"/>
      <c r="S135" s="94"/>
      <c r="T135" s="94"/>
      <c r="U135" s="94"/>
      <c r="V135" s="94"/>
      <c r="W135" s="94"/>
      <c r="X135" s="94"/>
      <c r="Y135" s="94"/>
      <c r="Z135" s="94"/>
    </row>
    <row r="136">
      <c r="A136" s="65" t="str">
        <f>HYPERLINK("https://youtu.be/jat-iMMa0ac","3. DUMBBELL SIDE LATERAL RAISE")</f>
        <v>3. DUMBBELL SIDE LATERAL RAISE</v>
      </c>
      <c r="B136" s="44"/>
      <c r="C136" s="44"/>
      <c r="D136" s="44"/>
      <c r="E136" s="44"/>
      <c r="F136" s="45"/>
      <c r="G136" s="248"/>
      <c r="H136" s="342"/>
      <c r="I136" s="244"/>
      <c r="J136" s="94"/>
      <c r="K136" s="94"/>
      <c r="L136" s="189"/>
      <c r="M136" s="94"/>
      <c r="N136" s="94"/>
      <c r="O136" s="94"/>
      <c r="P136" s="94"/>
      <c r="Q136" s="94"/>
      <c r="R136" s="94"/>
      <c r="S136" s="94"/>
      <c r="T136" s="94"/>
      <c r="U136" s="94"/>
      <c r="V136" s="94"/>
      <c r="W136" s="94"/>
      <c r="X136" s="94"/>
      <c r="Y136" s="94"/>
      <c r="Z136" s="94"/>
    </row>
    <row r="137">
      <c r="A137" s="193" t="s">
        <v>101</v>
      </c>
      <c r="B137" s="81" t="str">
        <f>B126</f>
        <v>#REF!</v>
      </c>
      <c r="C137" s="4"/>
      <c r="D137" s="4"/>
      <c r="E137" s="4"/>
      <c r="F137" s="48"/>
      <c r="G137" s="248"/>
      <c r="H137" s="244"/>
      <c r="I137" s="248"/>
      <c r="J137" s="94"/>
      <c r="K137" s="94"/>
      <c r="L137" s="189"/>
      <c r="M137" s="94"/>
      <c r="N137" s="94"/>
      <c r="O137" s="94"/>
      <c r="P137" s="94"/>
      <c r="Q137" s="94"/>
      <c r="R137" s="94"/>
      <c r="S137" s="94"/>
      <c r="T137" s="94"/>
      <c r="U137" s="94"/>
      <c r="V137" s="94"/>
      <c r="W137" s="94"/>
      <c r="X137" s="94"/>
      <c r="Y137" s="94"/>
      <c r="Z137" s="94"/>
    </row>
    <row r="138">
      <c r="A138" s="343" t="s">
        <v>18</v>
      </c>
      <c r="B138" s="70" t="s">
        <v>19</v>
      </c>
      <c r="C138" s="70" t="s">
        <v>20</v>
      </c>
      <c r="D138" s="70" t="s">
        <v>21</v>
      </c>
      <c r="E138" s="89" t="s">
        <v>22</v>
      </c>
      <c r="F138" s="344" t="s">
        <v>23</v>
      </c>
      <c r="G138" s="243"/>
      <c r="H138" s="94"/>
      <c r="I138" s="94"/>
      <c r="J138" s="94"/>
      <c r="K138" s="94"/>
      <c r="L138" s="189"/>
      <c r="M138" s="94"/>
      <c r="N138" s="94"/>
      <c r="O138" s="94"/>
      <c r="P138" s="94"/>
      <c r="Q138" s="94"/>
      <c r="R138" s="94"/>
      <c r="S138" s="94"/>
      <c r="T138" s="94"/>
      <c r="U138" s="94"/>
      <c r="V138" s="94"/>
      <c r="W138" s="94"/>
      <c r="X138" s="94"/>
      <c r="Y138" s="94"/>
      <c r="Z138" s="94"/>
    </row>
    <row r="139">
      <c r="A139" s="72">
        <v>1.0</v>
      </c>
      <c r="B139" s="73" t="str">
        <f> mround('WEEK 1 '!B137*0.2,5)</f>
        <v>#REF!</v>
      </c>
      <c r="C139" s="56">
        <v>20.0</v>
      </c>
      <c r="D139" s="74" t="s">
        <v>25</v>
      </c>
      <c r="E139" s="345"/>
      <c r="F139" s="297"/>
      <c r="G139" s="243"/>
      <c r="H139" s="94"/>
      <c r="I139" s="94"/>
      <c r="J139" s="94"/>
      <c r="K139" s="94"/>
      <c r="L139" s="189"/>
      <c r="M139" s="94"/>
      <c r="N139" s="94"/>
      <c r="O139" s="94"/>
      <c r="P139" s="94"/>
      <c r="Q139" s="94"/>
      <c r="R139" s="94"/>
      <c r="S139" s="94"/>
      <c r="T139" s="94"/>
      <c r="U139" s="94"/>
      <c r="V139" s="94"/>
      <c r="W139" s="94"/>
      <c r="X139" s="94"/>
      <c r="Y139" s="94"/>
      <c r="Z139" s="94"/>
    </row>
    <row r="140">
      <c r="A140" s="72">
        <v>2.0</v>
      </c>
      <c r="B140" s="73" t="str">
        <f>if('WEEK 1 '!F139&lt;12,mround('WEEK 1 '!B137*0.15,2.5),'WEEK 1 '!B139)</f>
        <v>#REF!</v>
      </c>
      <c r="C140" s="56">
        <v>20.0</v>
      </c>
      <c r="D140" s="74" t="s">
        <v>25</v>
      </c>
      <c r="E140" s="345"/>
      <c r="F140" s="297"/>
      <c r="G140" s="94"/>
      <c r="H140" s="94"/>
      <c r="I140" s="94"/>
      <c r="J140" s="94"/>
      <c r="K140" s="94"/>
      <c r="L140" s="189"/>
      <c r="M140" s="94"/>
      <c r="N140" s="94"/>
      <c r="O140" s="94"/>
      <c r="P140" s="94"/>
      <c r="Q140" s="94"/>
      <c r="R140" s="94"/>
      <c r="S140" s="94"/>
      <c r="T140" s="94"/>
      <c r="U140" s="94"/>
      <c r="V140" s="94"/>
      <c r="W140" s="94"/>
      <c r="X140" s="94"/>
      <c r="Y140" s="94"/>
      <c r="Z140" s="94"/>
    </row>
    <row r="141">
      <c r="A141" s="77">
        <v>3.0</v>
      </c>
      <c r="B141" s="78" t="str">
        <f>if('WEEK 1 '!F140&lt;12,mround('WEEK 1 '!B137*0.1,2.5),'WEEK 1 '!B140)</f>
        <v>#REF!</v>
      </c>
      <c r="C141" s="62">
        <v>20.0</v>
      </c>
      <c r="D141" s="79" t="s">
        <v>25</v>
      </c>
      <c r="E141" s="346"/>
      <c r="F141" s="76"/>
      <c r="G141" s="94"/>
      <c r="H141" s="94"/>
      <c r="I141" s="94"/>
      <c r="J141" s="94"/>
      <c r="K141" s="94"/>
      <c r="L141" s="189"/>
      <c r="M141" s="94"/>
      <c r="N141" s="94"/>
      <c r="O141" s="94"/>
      <c r="P141" s="94"/>
      <c r="Q141" s="94"/>
      <c r="R141" s="94"/>
      <c r="S141" s="94"/>
      <c r="T141" s="94"/>
      <c r="U141" s="94"/>
      <c r="V141" s="94"/>
      <c r="W141" s="94"/>
      <c r="X141" s="94"/>
      <c r="Y141" s="94"/>
      <c r="Z141" s="94"/>
    </row>
    <row r="142">
      <c r="A142" s="307"/>
      <c r="B142" s="307"/>
      <c r="C142" s="307"/>
      <c r="D142" s="307"/>
      <c r="E142" s="270"/>
      <c r="F142" s="94"/>
      <c r="G142" s="94"/>
      <c r="H142" s="94"/>
      <c r="I142" s="94"/>
      <c r="J142" s="94"/>
      <c r="K142" s="94"/>
      <c r="L142" s="189"/>
      <c r="M142" s="94"/>
      <c r="N142" s="94"/>
      <c r="O142" s="94"/>
      <c r="P142" s="94"/>
      <c r="Q142" s="94"/>
      <c r="R142" s="94"/>
      <c r="S142" s="94"/>
      <c r="T142" s="94"/>
      <c r="U142" s="94"/>
      <c r="V142" s="94"/>
      <c r="W142" s="94"/>
      <c r="X142" s="94"/>
      <c r="Y142" s="94"/>
      <c r="Z142" s="94"/>
    </row>
    <row r="143">
      <c r="A143" s="307"/>
      <c r="B143" s="307"/>
      <c r="C143" s="307"/>
      <c r="D143" s="307"/>
      <c r="E143" s="270"/>
      <c r="F143" s="94"/>
      <c r="G143" s="94"/>
      <c r="H143" s="94"/>
      <c r="I143" s="94"/>
      <c r="J143" s="94"/>
      <c r="K143" s="94"/>
      <c r="L143" s="189"/>
      <c r="M143" s="94"/>
      <c r="N143" s="94"/>
      <c r="O143" s="94"/>
      <c r="P143" s="94"/>
      <c r="Q143" s="94"/>
      <c r="R143" s="94"/>
      <c r="S143" s="94"/>
      <c r="T143" s="94"/>
      <c r="U143" s="94"/>
      <c r="V143" s="94"/>
      <c r="W143" s="94"/>
      <c r="X143" s="94"/>
      <c r="Y143" s="94"/>
      <c r="Z143" s="94"/>
    </row>
    <row r="144">
      <c r="A144" s="65" t="str">
        <f>HYPERLINK("https://www.youtube.com/watch?v=Yke__29qVfo","4. TRICEPS PUSHDOWN (STRAIGHT BAR)")</f>
        <v>4. TRICEPS PUSHDOWN (STRAIGHT BAR)</v>
      </c>
      <c r="B144" s="44"/>
      <c r="C144" s="44"/>
      <c r="D144" s="44"/>
      <c r="E144" s="44"/>
      <c r="F144" s="45"/>
      <c r="G144" s="347"/>
      <c r="H144" s="94"/>
      <c r="L144" s="348"/>
      <c r="O144" s="94"/>
      <c r="P144" s="94"/>
      <c r="Q144" s="94"/>
      <c r="R144" s="94"/>
      <c r="S144" s="94"/>
      <c r="T144" s="94"/>
      <c r="U144" s="94"/>
      <c r="V144" s="94"/>
      <c r="W144" s="94"/>
      <c r="X144" s="94"/>
      <c r="Y144" s="94"/>
      <c r="Z144" s="94"/>
    </row>
    <row r="145">
      <c r="A145" s="349" t="s">
        <v>86</v>
      </c>
      <c r="B145" s="350">
        <v>100.0</v>
      </c>
      <c r="C145" s="11"/>
      <c r="D145" s="11"/>
      <c r="E145" s="11"/>
      <c r="F145" s="86"/>
      <c r="G145" s="94"/>
      <c r="H145" s="94"/>
      <c r="L145" s="348"/>
      <c r="O145" s="94"/>
      <c r="P145" s="94"/>
      <c r="Q145" s="94"/>
      <c r="R145" s="94"/>
      <c r="S145" s="94"/>
      <c r="T145" s="94"/>
      <c r="U145" s="94"/>
      <c r="V145" s="94"/>
      <c r="W145" s="94"/>
      <c r="X145" s="94"/>
      <c r="Y145" s="94"/>
      <c r="Z145" s="94"/>
    </row>
    <row r="146">
      <c r="A146" s="351" t="s">
        <v>18</v>
      </c>
      <c r="B146" s="352" t="s">
        <v>19</v>
      </c>
      <c r="C146" s="352" t="s">
        <v>20</v>
      </c>
      <c r="D146" s="352" t="s">
        <v>21</v>
      </c>
      <c r="E146" s="353" t="s">
        <v>22</v>
      </c>
      <c r="F146" s="354" t="s">
        <v>23</v>
      </c>
      <c r="G146" s="201"/>
      <c r="H146" s="201"/>
      <c r="O146" s="201"/>
      <c r="P146" s="201"/>
      <c r="Q146" s="201"/>
      <c r="R146" s="201"/>
      <c r="S146" s="201"/>
      <c r="T146" s="201"/>
      <c r="U146" s="201"/>
      <c r="V146" s="201"/>
      <c r="W146" s="201"/>
      <c r="X146" s="201"/>
      <c r="Y146" s="201"/>
      <c r="Z146" s="201"/>
    </row>
    <row r="147">
      <c r="A147" s="355">
        <v>1.0</v>
      </c>
      <c r="B147" s="356">
        <f>B145</f>
        <v>100</v>
      </c>
      <c r="C147" s="357">
        <v>20.0</v>
      </c>
      <c r="D147" s="358" t="s">
        <v>26</v>
      </c>
      <c r="E147" s="359"/>
      <c r="F147" s="360"/>
      <c r="G147" s="206"/>
      <c r="H147" s="206"/>
      <c r="O147" s="206"/>
      <c r="P147" s="206"/>
      <c r="Q147" s="206"/>
      <c r="R147" s="206"/>
      <c r="S147" s="206"/>
      <c r="T147" s="206"/>
      <c r="U147" s="206"/>
      <c r="V147" s="206"/>
      <c r="W147" s="206"/>
      <c r="X147" s="206"/>
      <c r="Y147" s="206"/>
      <c r="Z147" s="206"/>
    </row>
    <row r="148">
      <c r="A148" s="361">
        <v>2.0</v>
      </c>
      <c r="B148" s="356" t="str">
        <f>if('WEEK 1 '!F147&lt;10,mround('WEEK 1 '!B147*0.8,5),IF('WEEK 1 '!F147&lt;=14,MROUND('WEEK 1 '!B145*0.95,5),'WEEK 1 '!B147))</f>
        <v>#REF!</v>
      </c>
      <c r="C148" s="357">
        <v>20.0</v>
      </c>
      <c r="D148" s="358" t="s">
        <v>26</v>
      </c>
      <c r="E148" s="359"/>
      <c r="F148" s="360"/>
      <c r="G148" s="206"/>
      <c r="H148" s="206"/>
      <c r="O148" s="206"/>
      <c r="P148" s="206"/>
      <c r="Q148" s="206"/>
      <c r="R148" s="206"/>
      <c r="S148" s="206"/>
      <c r="T148" s="206"/>
      <c r="U148" s="206"/>
      <c r="V148" s="206"/>
      <c r="W148" s="206"/>
      <c r="X148" s="206"/>
      <c r="Y148" s="206"/>
      <c r="Z148" s="206"/>
    </row>
    <row r="149">
      <c r="A149" s="362">
        <v>3.0</v>
      </c>
      <c r="B149" s="363" t="str">
        <f>if('WEEK 1 '!F148&lt;10,mround('WEEK 1 '!B148*0.8,5),IF('WEEK 1 '!F148&lt;=14,MROUND('WEEK 1 '!B148*0.95,5),'WEEK 1 '!B148))</f>
        <v>#REF!</v>
      </c>
      <c r="C149" s="364">
        <v>20.0</v>
      </c>
      <c r="D149" s="365" t="s">
        <v>26</v>
      </c>
      <c r="E149" s="366"/>
      <c r="F149" s="360"/>
      <c r="G149" s="206"/>
      <c r="H149" s="206"/>
      <c r="O149" s="206"/>
      <c r="P149" s="206"/>
      <c r="Q149" s="206"/>
      <c r="R149" s="206"/>
      <c r="S149" s="206"/>
      <c r="T149" s="206"/>
      <c r="U149" s="206"/>
      <c r="V149" s="206"/>
      <c r="W149" s="206"/>
      <c r="X149" s="206"/>
      <c r="Y149" s="206"/>
      <c r="Z149" s="206"/>
    </row>
    <row r="150">
      <c r="G150" s="206"/>
      <c r="H150" s="206"/>
      <c r="I150" s="206"/>
      <c r="J150" s="206"/>
      <c r="K150" s="206"/>
      <c r="L150" s="289"/>
      <c r="M150" s="206"/>
      <c r="N150" s="206"/>
      <c r="O150" s="206"/>
      <c r="P150" s="206"/>
      <c r="Q150" s="206"/>
      <c r="R150" s="206"/>
      <c r="S150" s="206"/>
      <c r="T150" s="206"/>
      <c r="U150" s="206"/>
      <c r="V150" s="206"/>
      <c r="W150" s="206"/>
      <c r="X150" s="206"/>
      <c r="Y150" s="206"/>
      <c r="Z150" s="206"/>
    </row>
    <row r="151">
      <c r="G151" s="94"/>
      <c r="H151" s="94"/>
      <c r="I151" s="94"/>
      <c r="J151" s="94"/>
      <c r="K151" s="94"/>
      <c r="L151" s="189"/>
      <c r="M151" s="94"/>
      <c r="N151" s="94"/>
      <c r="O151" s="94"/>
      <c r="P151" s="94"/>
      <c r="Q151" s="94"/>
      <c r="R151" s="94"/>
      <c r="S151" s="94"/>
      <c r="T151" s="94"/>
      <c r="U151" s="94"/>
      <c r="V151" s="94"/>
      <c r="W151" s="94"/>
      <c r="X151" s="94"/>
      <c r="Y151" s="94"/>
      <c r="Z151" s="94"/>
    </row>
    <row r="152">
      <c r="A152" s="367" t="str">
        <f>HYPERLINK("https://www.youtube.com/watch?v=9IqvmIhFxtY","5. BICEP CABLE CURLS")</f>
        <v>5. BICEP CABLE CURLS</v>
      </c>
      <c r="B152" s="16"/>
      <c r="C152" s="16"/>
      <c r="D152" s="16"/>
      <c r="E152" s="16"/>
      <c r="F152" s="17"/>
      <c r="G152" s="94"/>
      <c r="H152" s="367" t="str">
        <f>HYPERLINK("https://www.youtube.com/watch?v=Bi6Do6QIlpQ","5. BICEP BAR CURLS")</f>
        <v>5. BICEP BAR CURLS</v>
      </c>
      <c r="I152" s="16"/>
      <c r="J152" s="16"/>
      <c r="K152" s="16"/>
      <c r="L152" s="16"/>
      <c r="M152" s="17"/>
      <c r="N152" s="94"/>
      <c r="O152" s="94"/>
      <c r="P152" s="94"/>
      <c r="Q152" s="94"/>
      <c r="R152" s="94"/>
      <c r="S152" s="94"/>
      <c r="T152" s="94"/>
      <c r="U152" s="94"/>
      <c r="V152" s="94"/>
      <c r="W152" s="94"/>
      <c r="X152" s="94"/>
      <c r="Y152" s="94"/>
      <c r="Z152" s="94"/>
    </row>
    <row r="153">
      <c r="A153" s="302" t="str">
        <f>HYPERLINK("https://www.youtube.com/watch?v=4fvXV8SIEm8","WATCH THIS BEFORE MACHINE CURL")</f>
        <v>WATCH THIS BEFORE MACHINE CURL</v>
      </c>
      <c r="B153" s="16"/>
      <c r="C153" s="16"/>
      <c r="D153" s="16"/>
      <c r="E153" s="16"/>
      <c r="F153" s="17"/>
      <c r="G153" s="94"/>
      <c r="H153" s="302" t="str">
        <f>HYPERLINK("https://www.youtube.com/watch?v=4fvXV8SIEm8","WATCH THIS BEFORE MACHINE CURL")</f>
        <v>WATCH THIS BEFORE MACHINE CURL</v>
      </c>
      <c r="I153" s="16"/>
      <c r="J153" s="16"/>
      <c r="K153" s="16"/>
      <c r="L153" s="16"/>
      <c r="M153" s="17"/>
      <c r="N153" s="94"/>
      <c r="O153" s="94"/>
      <c r="P153" s="94"/>
      <c r="Q153" s="94"/>
      <c r="R153" s="94"/>
      <c r="S153" s="94"/>
      <c r="T153" s="94"/>
      <c r="U153" s="94"/>
      <c r="V153" s="94"/>
      <c r="W153" s="94"/>
      <c r="X153" s="94"/>
      <c r="Y153" s="94"/>
      <c r="Z153" s="94"/>
    </row>
    <row r="154">
      <c r="A154" s="303"/>
      <c r="B154" s="2"/>
      <c r="C154" s="2"/>
      <c r="D154" s="2"/>
      <c r="E154" s="2"/>
      <c r="F154" s="37"/>
      <c r="G154" s="94"/>
      <c r="H154" s="303"/>
      <c r="I154" s="2"/>
      <c r="J154" s="2"/>
      <c r="K154" s="2"/>
      <c r="L154" s="2"/>
      <c r="M154" s="37"/>
      <c r="N154" s="94"/>
      <c r="O154" s="94"/>
      <c r="P154" s="94"/>
      <c r="Q154" s="94"/>
      <c r="R154" s="94"/>
      <c r="S154" s="94"/>
      <c r="T154" s="94"/>
      <c r="U154" s="94"/>
      <c r="V154" s="94"/>
      <c r="W154" s="94"/>
      <c r="X154" s="94"/>
      <c r="Y154" s="94"/>
      <c r="Z154" s="94"/>
    </row>
    <row r="155">
      <c r="A155" s="368" t="s">
        <v>18</v>
      </c>
      <c r="B155" s="369" t="s">
        <v>19</v>
      </c>
      <c r="C155" s="369" t="s">
        <v>20</v>
      </c>
      <c r="D155" s="370" t="s">
        <v>21</v>
      </c>
      <c r="E155" s="371" t="s">
        <v>22</v>
      </c>
      <c r="F155" s="133" t="s">
        <v>23</v>
      </c>
      <c r="G155" s="94"/>
      <c r="H155" s="368" t="s">
        <v>18</v>
      </c>
      <c r="I155" s="369" t="s">
        <v>19</v>
      </c>
      <c r="J155" s="369" t="s">
        <v>20</v>
      </c>
      <c r="K155" s="370" t="s">
        <v>21</v>
      </c>
      <c r="L155" s="371" t="s">
        <v>22</v>
      </c>
      <c r="M155" s="133" t="s">
        <v>23</v>
      </c>
      <c r="N155" s="94"/>
      <c r="O155" s="94"/>
      <c r="P155" s="94"/>
      <c r="Q155" s="94"/>
      <c r="R155" s="94"/>
      <c r="S155" s="94"/>
      <c r="T155" s="94"/>
      <c r="U155" s="94"/>
      <c r="V155" s="94"/>
      <c r="W155" s="94"/>
      <c r="X155" s="94"/>
      <c r="Y155" s="94"/>
      <c r="Z155" s="94"/>
    </row>
    <row r="156">
      <c r="A156" s="372">
        <v>1.0</v>
      </c>
      <c r="B156" s="158">
        <v>15.0</v>
      </c>
      <c r="C156" s="138">
        <v>10.0</v>
      </c>
      <c r="D156" s="373" t="s">
        <v>55</v>
      </c>
      <c r="E156" s="374"/>
      <c r="F156" s="375"/>
      <c r="G156" s="201"/>
      <c r="H156" s="372">
        <v>1.0</v>
      </c>
      <c r="I156" s="158">
        <v>25.0</v>
      </c>
      <c r="J156" s="138">
        <v>4.0</v>
      </c>
      <c r="K156" s="373" t="s">
        <v>55</v>
      </c>
      <c r="L156" s="374"/>
      <c r="M156" s="375"/>
      <c r="N156" s="201"/>
      <c r="O156" s="201"/>
      <c r="P156" s="201"/>
      <c r="Q156" s="201"/>
      <c r="R156" s="201"/>
      <c r="S156" s="201"/>
      <c r="T156" s="201"/>
      <c r="U156" s="201"/>
      <c r="V156" s="201"/>
      <c r="W156" s="201"/>
      <c r="X156" s="201"/>
      <c r="Y156" s="201"/>
      <c r="Z156" s="201"/>
    </row>
    <row r="157">
      <c r="A157" s="372">
        <v>2.0</v>
      </c>
      <c r="B157" s="158">
        <v>25.0</v>
      </c>
      <c r="C157" s="138">
        <v>10.0</v>
      </c>
      <c r="D157" s="373" t="s">
        <v>55</v>
      </c>
      <c r="E157" s="374"/>
      <c r="F157" s="375"/>
      <c r="G157" s="206"/>
      <c r="H157" s="372">
        <v>2.0</v>
      </c>
      <c r="I157" s="158">
        <v>45.0</v>
      </c>
      <c r="J157" s="138">
        <v>4.0</v>
      </c>
      <c r="K157" s="373" t="s">
        <v>55</v>
      </c>
      <c r="L157" s="374"/>
      <c r="M157" s="375"/>
      <c r="N157" s="206"/>
      <c r="O157" s="206"/>
      <c r="P157" s="206"/>
      <c r="Q157" s="206"/>
      <c r="R157" s="206"/>
      <c r="S157" s="206"/>
      <c r="T157" s="206"/>
      <c r="U157" s="206"/>
      <c r="V157" s="206"/>
      <c r="W157" s="206"/>
      <c r="X157" s="206"/>
      <c r="Y157" s="206"/>
      <c r="Z157" s="206"/>
    </row>
    <row r="158">
      <c r="A158" s="372">
        <v>3.0</v>
      </c>
      <c r="B158" s="158">
        <v>45.0</v>
      </c>
      <c r="C158" s="138">
        <v>10.0</v>
      </c>
      <c r="D158" s="373" t="s">
        <v>55</v>
      </c>
      <c r="E158" s="374"/>
      <c r="F158" s="375"/>
      <c r="G158" s="94"/>
      <c r="H158" s="372">
        <v>3.0</v>
      </c>
      <c r="I158" s="158">
        <v>60.0</v>
      </c>
      <c r="J158" s="138">
        <v>4.0</v>
      </c>
      <c r="K158" s="373" t="s">
        <v>55</v>
      </c>
      <c r="L158" s="374"/>
      <c r="M158" s="375"/>
      <c r="N158" s="94"/>
      <c r="O158" s="94"/>
      <c r="P158" s="94"/>
      <c r="Q158" s="94"/>
      <c r="R158" s="94"/>
      <c r="S158" s="94"/>
      <c r="T158" s="94"/>
      <c r="U158" s="94"/>
      <c r="V158" s="94"/>
      <c r="W158" s="94"/>
      <c r="X158" s="94"/>
      <c r="Y158" s="94"/>
      <c r="Z158" s="94"/>
    </row>
    <row r="159">
      <c r="A159" s="372">
        <v>4.0</v>
      </c>
      <c r="B159" s="158">
        <v>60.0</v>
      </c>
      <c r="C159" s="138">
        <v>10.0</v>
      </c>
      <c r="D159" s="373" t="s">
        <v>55</v>
      </c>
      <c r="E159" s="374"/>
      <c r="F159" s="375"/>
      <c r="G159" s="206"/>
      <c r="H159" s="372">
        <v>4.0</v>
      </c>
      <c r="I159" s="158">
        <v>70.0</v>
      </c>
      <c r="J159" s="138">
        <v>4.0</v>
      </c>
      <c r="K159" s="373" t="s">
        <v>55</v>
      </c>
      <c r="L159" s="374"/>
      <c r="M159" s="375"/>
      <c r="N159" s="206"/>
      <c r="O159" s="206"/>
      <c r="P159" s="206"/>
      <c r="Q159" s="206"/>
      <c r="R159" s="206"/>
      <c r="S159" s="206"/>
      <c r="T159" s="206"/>
      <c r="U159" s="206"/>
      <c r="V159" s="206"/>
      <c r="W159" s="206"/>
      <c r="X159" s="206"/>
      <c r="Y159" s="206"/>
      <c r="Z159" s="206"/>
    </row>
    <row r="160">
      <c r="A160" s="372">
        <v>5.0</v>
      </c>
      <c r="B160" s="158">
        <v>70.0</v>
      </c>
      <c r="C160" s="138">
        <v>10.0</v>
      </c>
      <c r="D160" s="373" t="s">
        <v>55</v>
      </c>
      <c r="E160" s="374"/>
      <c r="F160" s="375"/>
      <c r="G160" s="94"/>
      <c r="H160" s="372">
        <v>5.0</v>
      </c>
      <c r="I160" s="158">
        <v>85.0</v>
      </c>
      <c r="J160" s="138">
        <v>4.0</v>
      </c>
      <c r="K160" s="373" t="s">
        <v>55</v>
      </c>
      <c r="L160" s="374"/>
      <c r="M160" s="375"/>
      <c r="N160" s="94"/>
      <c r="O160" s="94"/>
      <c r="P160" s="94"/>
      <c r="Q160" s="94"/>
      <c r="R160" s="94"/>
      <c r="S160" s="94"/>
      <c r="T160" s="94"/>
      <c r="U160" s="94"/>
      <c r="V160" s="94"/>
      <c r="W160" s="94"/>
      <c r="X160" s="94"/>
      <c r="Y160" s="94"/>
      <c r="Z160" s="94"/>
    </row>
    <row r="161">
      <c r="A161" s="372">
        <v>6.0</v>
      </c>
      <c r="B161" s="158">
        <v>85.0</v>
      </c>
      <c r="C161" s="138">
        <v>10.0</v>
      </c>
      <c r="D161" s="373" t="s">
        <v>55</v>
      </c>
      <c r="E161" s="374"/>
      <c r="F161" s="375"/>
      <c r="G161" s="206"/>
      <c r="H161" s="372">
        <v>6.0</v>
      </c>
      <c r="I161" s="158">
        <v>95.0</v>
      </c>
      <c r="J161" s="138">
        <v>4.0</v>
      </c>
      <c r="K161" s="373" t="s">
        <v>55</v>
      </c>
      <c r="L161" s="374"/>
      <c r="M161" s="375"/>
      <c r="N161" s="206"/>
      <c r="O161" s="206"/>
      <c r="P161" s="206"/>
      <c r="Q161" s="206"/>
      <c r="R161" s="206"/>
      <c r="S161" s="206"/>
      <c r="T161" s="206"/>
      <c r="U161" s="206"/>
      <c r="V161" s="206"/>
      <c r="W161" s="206"/>
      <c r="X161" s="206"/>
      <c r="Y161" s="206"/>
      <c r="Z161" s="206"/>
    </row>
    <row r="162">
      <c r="A162" s="372">
        <v>7.0</v>
      </c>
      <c r="B162" s="158">
        <v>95.0</v>
      </c>
      <c r="C162" s="138">
        <v>10.0</v>
      </c>
      <c r="D162" s="373" t="s">
        <v>55</v>
      </c>
      <c r="E162" s="374"/>
      <c r="F162" s="375"/>
      <c r="G162" s="206"/>
      <c r="H162" s="372">
        <v>7.0</v>
      </c>
      <c r="I162" s="158">
        <v>110.0</v>
      </c>
      <c r="J162" s="138">
        <v>4.0</v>
      </c>
      <c r="K162" s="373" t="s">
        <v>55</v>
      </c>
      <c r="L162" s="374"/>
      <c r="M162" s="375"/>
      <c r="N162" s="206"/>
      <c r="O162" s="206"/>
      <c r="P162" s="206"/>
      <c r="Q162" s="206"/>
      <c r="R162" s="206"/>
      <c r="S162" s="206"/>
      <c r="T162" s="206"/>
      <c r="U162" s="206"/>
      <c r="V162" s="206"/>
      <c r="W162" s="206"/>
      <c r="X162" s="206"/>
      <c r="Y162" s="206"/>
      <c r="Z162" s="206"/>
    </row>
    <row r="163">
      <c r="A163" s="372">
        <v>8.0</v>
      </c>
      <c r="B163" s="158">
        <v>110.0</v>
      </c>
      <c r="C163" s="138">
        <v>10.0</v>
      </c>
      <c r="D163" s="373" t="s">
        <v>55</v>
      </c>
      <c r="E163" s="374"/>
      <c r="F163" s="375"/>
      <c r="G163" s="94"/>
      <c r="H163" s="372">
        <v>8.0</v>
      </c>
      <c r="I163" s="158">
        <v>120.0</v>
      </c>
      <c r="J163" s="138">
        <v>4.0</v>
      </c>
      <c r="K163" s="373" t="s">
        <v>55</v>
      </c>
      <c r="L163" s="374"/>
      <c r="M163" s="375"/>
      <c r="N163" s="94"/>
      <c r="O163" s="94"/>
      <c r="P163" s="94"/>
      <c r="Q163" s="94"/>
      <c r="R163" s="94"/>
      <c r="S163" s="94"/>
      <c r="T163" s="94"/>
      <c r="U163" s="94"/>
      <c r="V163" s="94"/>
      <c r="W163" s="94"/>
      <c r="X163" s="94"/>
      <c r="Y163" s="94"/>
      <c r="Z163" s="94"/>
    </row>
    <row r="164">
      <c r="A164" s="372">
        <v>9.0</v>
      </c>
      <c r="B164" s="158">
        <v>120.0</v>
      </c>
      <c r="C164" s="138">
        <v>10.0</v>
      </c>
      <c r="D164" s="373" t="s">
        <v>55</v>
      </c>
      <c r="E164" s="374"/>
      <c r="F164" s="375"/>
      <c r="G164" s="94"/>
      <c r="H164" s="372">
        <v>9.0</v>
      </c>
      <c r="I164" s="158">
        <v>130.0</v>
      </c>
      <c r="J164" s="138">
        <v>4.0</v>
      </c>
      <c r="K164" s="373" t="s">
        <v>55</v>
      </c>
      <c r="L164" s="374"/>
      <c r="M164" s="375"/>
      <c r="N164" s="94"/>
      <c r="O164" s="94"/>
      <c r="P164" s="94"/>
      <c r="Q164" s="94"/>
      <c r="R164" s="94"/>
      <c r="S164" s="94"/>
      <c r="T164" s="94"/>
      <c r="U164" s="94"/>
      <c r="V164" s="94"/>
      <c r="W164" s="94"/>
      <c r="X164" s="94"/>
      <c r="Y164" s="94"/>
      <c r="Z164" s="94"/>
    </row>
    <row r="165">
      <c r="A165" s="372">
        <v>10.0</v>
      </c>
      <c r="B165" s="376">
        <v>130.0</v>
      </c>
      <c r="C165" s="377">
        <v>10.0</v>
      </c>
      <c r="D165" s="378" t="s">
        <v>55</v>
      </c>
      <c r="E165" s="379"/>
      <c r="F165" s="375"/>
      <c r="G165" s="94"/>
      <c r="H165" s="372">
        <v>10.0</v>
      </c>
      <c r="I165" s="376">
        <v>140.0</v>
      </c>
      <c r="J165" s="377">
        <v>4.0</v>
      </c>
      <c r="K165" s="378" t="s">
        <v>55</v>
      </c>
      <c r="L165" s="379"/>
      <c r="M165" s="375"/>
      <c r="N165" s="94"/>
      <c r="O165" s="94"/>
      <c r="P165" s="94"/>
      <c r="Q165" s="94"/>
      <c r="R165" s="94"/>
      <c r="S165" s="94"/>
      <c r="T165" s="94"/>
      <c r="U165" s="94"/>
      <c r="V165" s="94"/>
      <c r="W165" s="94"/>
      <c r="X165" s="94"/>
      <c r="Y165" s="94"/>
      <c r="Z165" s="94"/>
    </row>
    <row r="166">
      <c r="A166" s="380" t="s">
        <v>99</v>
      </c>
      <c r="B166" s="32">
        <v>150.0</v>
      </c>
      <c r="C166" s="27"/>
      <c r="D166" s="27"/>
      <c r="E166" s="27"/>
      <c r="F166" s="28"/>
      <c r="G166" s="94"/>
      <c r="H166" s="380" t="s">
        <v>99</v>
      </c>
      <c r="I166" s="381"/>
      <c r="J166" s="27"/>
      <c r="K166" s="27"/>
      <c r="L166" s="27"/>
      <c r="M166" s="28"/>
      <c r="N166" s="94"/>
      <c r="O166" s="94"/>
      <c r="P166" s="94"/>
      <c r="Q166" s="94"/>
      <c r="R166" s="94"/>
      <c r="S166" s="94"/>
      <c r="T166" s="94"/>
      <c r="U166" s="94"/>
      <c r="V166" s="94"/>
      <c r="W166" s="94"/>
      <c r="X166" s="94"/>
      <c r="Y166" s="94"/>
      <c r="Z166" s="94"/>
    </row>
    <row r="167">
      <c r="A167" s="244"/>
      <c r="B167" s="244"/>
      <c r="C167" s="244"/>
      <c r="D167" s="244"/>
      <c r="E167" s="327"/>
      <c r="F167" s="244"/>
      <c r="G167" s="244"/>
      <c r="H167" s="382"/>
      <c r="I167" s="383"/>
      <c r="J167" s="383"/>
      <c r="K167" s="384"/>
      <c r="L167" s="385"/>
      <c r="M167" s="385"/>
      <c r="N167" s="244"/>
      <c r="O167" s="244"/>
      <c r="P167" s="244"/>
      <c r="Q167" s="244"/>
      <c r="R167" s="244"/>
      <c r="S167" s="244"/>
      <c r="T167" s="244"/>
      <c r="U167" s="244"/>
      <c r="V167" s="244"/>
      <c r="W167" s="244"/>
      <c r="X167" s="244"/>
      <c r="Y167" s="244"/>
      <c r="Z167" s="244"/>
    </row>
    <row r="168">
      <c r="A168" s="244"/>
      <c r="B168" s="244"/>
      <c r="C168" s="244"/>
      <c r="D168" s="244"/>
      <c r="E168" s="327"/>
      <c r="F168" s="244"/>
      <c r="G168" s="244"/>
      <c r="H168" s="382"/>
      <c r="I168" s="383"/>
      <c r="J168" s="383"/>
      <c r="K168" s="384"/>
      <c r="L168" s="385"/>
      <c r="M168" s="385"/>
      <c r="N168" s="244"/>
      <c r="O168" s="244"/>
      <c r="P168" s="244"/>
      <c r="Q168" s="244"/>
      <c r="R168" s="244"/>
      <c r="S168" s="244"/>
      <c r="T168" s="244"/>
      <c r="U168" s="244"/>
      <c r="V168" s="244"/>
      <c r="W168" s="244"/>
      <c r="X168" s="244"/>
      <c r="Y168" s="244"/>
      <c r="Z168" s="244"/>
    </row>
    <row r="169">
      <c r="A169" s="97" t="s">
        <v>102</v>
      </c>
      <c r="B169" s="27"/>
      <c r="C169" s="27"/>
      <c r="D169" s="27"/>
      <c r="E169" s="27"/>
      <c r="F169" s="28"/>
      <c r="G169" s="386"/>
      <c r="N169" s="386"/>
      <c r="O169" s="94"/>
      <c r="P169" s="94"/>
      <c r="Q169" s="94"/>
      <c r="R169" s="94"/>
      <c r="S169" s="94"/>
      <c r="T169" s="94"/>
      <c r="U169" s="94"/>
      <c r="V169" s="94"/>
      <c r="W169" s="94"/>
      <c r="X169" s="94"/>
      <c r="Y169" s="94"/>
      <c r="Z169" s="94"/>
    </row>
    <row r="170">
      <c r="A170" s="94"/>
      <c r="B170" s="94"/>
      <c r="C170" s="94"/>
      <c r="D170" s="94"/>
      <c r="E170" s="189"/>
      <c r="F170" s="94"/>
      <c r="G170" s="94"/>
      <c r="N170" s="94"/>
      <c r="O170" s="94"/>
      <c r="P170" s="94"/>
      <c r="Q170" s="94"/>
      <c r="R170" s="94"/>
      <c r="S170" s="94"/>
      <c r="T170" s="94"/>
      <c r="U170" s="94"/>
      <c r="V170" s="94"/>
      <c r="W170" s="94"/>
      <c r="X170" s="94"/>
      <c r="Y170" s="94"/>
      <c r="Z170" s="94"/>
    </row>
    <row r="171">
      <c r="A171" s="98" t="str">
        <f>HYPERLINK("https://www.amazon.com/30-Minute-Body-Investment-Champion/dp/0692791892/ref=sr_1_1?ie=UTF8&amp;qid=1490447969&amp;sr=8-1&amp;keywords=30+minute+body","WANT TO LEARN MORE?")</f>
        <v>WANT TO LEARN MORE?</v>
      </c>
      <c r="B171" s="27"/>
      <c r="C171" s="27"/>
      <c r="D171" s="27"/>
      <c r="E171" s="27"/>
      <c r="F171" s="28"/>
      <c r="G171" s="387"/>
      <c r="H171" s="388"/>
      <c r="I171" s="388"/>
      <c r="J171" s="388"/>
      <c r="K171" s="388"/>
      <c r="L171" s="189"/>
      <c r="M171" s="94"/>
      <c r="N171" s="94"/>
      <c r="O171" s="94"/>
      <c r="P171" s="94"/>
      <c r="Q171" s="94"/>
      <c r="R171" s="94"/>
      <c r="S171" s="94"/>
      <c r="T171" s="94"/>
      <c r="U171" s="94"/>
      <c r="V171" s="94"/>
      <c r="W171" s="94"/>
      <c r="X171" s="94"/>
      <c r="Y171" s="94"/>
      <c r="Z171" s="94"/>
    </row>
    <row r="172">
      <c r="A172" s="99"/>
      <c r="B172" s="387"/>
      <c r="C172" s="387"/>
      <c r="D172" s="387"/>
      <c r="E172" s="387"/>
      <c r="F172" s="387"/>
      <c r="G172" s="387"/>
      <c r="H172" s="388"/>
      <c r="I172" s="388"/>
      <c r="J172" s="388"/>
      <c r="K172" s="388"/>
      <c r="L172" s="189"/>
      <c r="M172" s="94"/>
      <c r="N172" s="94"/>
      <c r="O172" s="94"/>
      <c r="P172" s="94"/>
      <c r="Q172" s="94"/>
      <c r="R172" s="94"/>
      <c r="S172" s="94"/>
      <c r="T172" s="94"/>
      <c r="U172" s="94"/>
      <c r="V172" s="94"/>
      <c r="W172" s="94"/>
      <c r="X172" s="94"/>
      <c r="Y172" s="94"/>
      <c r="Z172" s="94"/>
    </row>
    <row r="173">
      <c r="A173" s="387"/>
      <c r="B173" s="389"/>
      <c r="C173" s="102" t="s">
        <v>35</v>
      </c>
      <c r="D173" s="27"/>
      <c r="E173" s="27"/>
      <c r="F173" s="28"/>
      <c r="G173" s="389"/>
      <c r="H173" s="388"/>
      <c r="I173" s="388"/>
      <c r="J173" s="388"/>
      <c r="K173" s="388"/>
      <c r="L173" s="189"/>
      <c r="M173" s="94"/>
      <c r="N173" s="94"/>
      <c r="O173" s="94"/>
      <c r="P173" s="94"/>
      <c r="Q173" s="94"/>
      <c r="R173" s="94"/>
      <c r="S173" s="94"/>
      <c r="T173" s="94"/>
      <c r="U173" s="94"/>
      <c r="V173" s="94"/>
      <c r="W173" s="94"/>
      <c r="X173" s="94"/>
      <c r="Y173" s="94"/>
      <c r="Z173" s="94"/>
    </row>
  </sheetData>
  <mergeCells count="89">
    <mergeCell ref="B58:F58"/>
    <mergeCell ref="G59:G60"/>
    <mergeCell ref="A65:F65"/>
    <mergeCell ref="B66:F66"/>
    <mergeCell ref="A72:F72"/>
    <mergeCell ref="A74:F74"/>
    <mergeCell ref="A76:F76"/>
    <mergeCell ref="A77:F77"/>
    <mergeCell ref="A83:F83"/>
    <mergeCell ref="B84:F84"/>
    <mergeCell ref="A92:F92"/>
    <mergeCell ref="B93:F93"/>
    <mergeCell ref="A100:F100"/>
    <mergeCell ref="B101:F101"/>
    <mergeCell ref="G103:G104"/>
    <mergeCell ref="A109:F109"/>
    <mergeCell ref="A110:F111"/>
    <mergeCell ref="A112:F112"/>
    <mergeCell ref="A113:F113"/>
    <mergeCell ref="B114:F114"/>
    <mergeCell ref="A120:F120"/>
    <mergeCell ref="B145:F145"/>
    <mergeCell ref="A152:F152"/>
    <mergeCell ref="A153:F154"/>
    <mergeCell ref="B166:F166"/>
    <mergeCell ref="A169:F169"/>
    <mergeCell ref="A171:F171"/>
    <mergeCell ref="C173:F173"/>
    <mergeCell ref="B126:F126"/>
    <mergeCell ref="A128:F128"/>
    <mergeCell ref="B129:F129"/>
    <mergeCell ref="G129:G130"/>
    <mergeCell ref="A136:F136"/>
    <mergeCell ref="B137:F137"/>
    <mergeCell ref="A144:F144"/>
    <mergeCell ref="A8:F8"/>
    <mergeCell ref="A9:F9"/>
    <mergeCell ref="H9:M9"/>
    <mergeCell ref="A10:F11"/>
    <mergeCell ref="H10:M10"/>
    <mergeCell ref="A12:F12"/>
    <mergeCell ref="A13:F13"/>
    <mergeCell ref="O18:T18"/>
    <mergeCell ref="O19:T19"/>
    <mergeCell ref="O26:T26"/>
    <mergeCell ref="O28:T28"/>
    <mergeCell ref="P33:T33"/>
    <mergeCell ref="A15:F15"/>
    <mergeCell ref="H15:M15"/>
    <mergeCell ref="O15:T15"/>
    <mergeCell ref="A18:F18"/>
    <mergeCell ref="H18:M18"/>
    <mergeCell ref="A19:F19"/>
    <mergeCell ref="B20:F20"/>
    <mergeCell ref="P20:T20"/>
    <mergeCell ref="H19:M19"/>
    <mergeCell ref="I20:M20"/>
    <mergeCell ref="A26:F26"/>
    <mergeCell ref="G26:G27"/>
    <mergeCell ref="H26:M26"/>
    <mergeCell ref="N26:N27"/>
    <mergeCell ref="H29:M29"/>
    <mergeCell ref="A29:F29"/>
    <mergeCell ref="B32:F32"/>
    <mergeCell ref="I32:M32"/>
    <mergeCell ref="A34:F34"/>
    <mergeCell ref="H34:M34"/>
    <mergeCell ref="G35:G36"/>
    <mergeCell ref="I35:M35"/>
    <mergeCell ref="B35:F35"/>
    <mergeCell ref="A41:F41"/>
    <mergeCell ref="B42:F42"/>
    <mergeCell ref="A48:F48"/>
    <mergeCell ref="A51:F51"/>
    <mergeCell ref="B54:F54"/>
    <mergeCell ref="A57:F57"/>
    <mergeCell ref="I122:M122"/>
    <mergeCell ref="H128:M128"/>
    <mergeCell ref="I129:M129"/>
    <mergeCell ref="H152:M152"/>
    <mergeCell ref="H153:M154"/>
    <mergeCell ref="I166:M166"/>
    <mergeCell ref="H100:M100"/>
    <mergeCell ref="I101:M101"/>
    <mergeCell ref="I106:M106"/>
    <mergeCell ref="H110:M111"/>
    <mergeCell ref="H112:M112"/>
    <mergeCell ref="H113:M113"/>
    <mergeCell ref="A123:F123"/>
  </mergeCells>
  <dataValidations>
    <dataValidation type="decimal" operator="greaterThanOrEqual" allowBlank="1" showDropDown="1" showErrorMessage="1" sqref="M1:M8 M12:M14 T1:T14 M16:M17 T16:T17 T21:T25 T27 T29:T32 M33 F94:F97 M39:M99 F102:F105 M102:M105 M107 M123:M127 F138:F141 M134:M143 M150:M151 F155 M155 E156:F165 L156:M165 L167:M168 M171:M173 T34:T173">
      <formula1>0.0</formula1>
    </dataValidation>
    <dataValidation type="decimal" allowBlank="1" showDropDown="1" showErrorMessage="1" sqref="F147 F149">
      <formula1>0.0</formula1>
      <formula2>500.0</formula2>
    </dataValidation>
    <dataValidation type="decimal" allowBlank="1" showDropDown="1" showInputMessage="1" showErrorMessage="1" prompt="Click and enter a value from range 0-500" sqref="H12">
      <formula1>1.0</formula1>
      <formula2>500.0</formula2>
    </dataValidation>
    <dataValidation type="decimal" operator="greaterThanOrEqual" allowBlank="1" showDropDown="1" sqref="F1:F7 F14 F16:F17 F21:F25 M21:M25 F27 M27 F30 M30 F33 M36:M38 F36:F40 F55:F56 F59:F64 F67:F71 F78:F82 F85:F91 F98:F99 F107:F108 F127 M130:M133 F134:F135 F142:F143 F167:F168 F170">
      <formula1>0.0</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8"/>
    </row>
    <row r="8">
      <c r="A8" s="109" t="s">
        <v>44</v>
      </c>
      <c r="B8" s="44"/>
      <c r="C8" s="44"/>
      <c r="D8" s="44"/>
      <c r="E8" s="45"/>
      <c r="F8" s="110"/>
      <c r="G8" s="111"/>
      <c r="I8" s="15" t="s">
        <v>3</v>
      </c>
      <c r="J8" s="16"/>
      <c r="K8" s="16"/>
      <c r="L8" s="16"/>
      <c r="M8" s="16"/>
      <c r="N8" s="17"/>
      <c r="O8" s="111"/>
    </row>
    <row r="9">
      <c r="A9" s="112" t="s">
        <v>45</v>
      </c>
      <c r="B9" s="11"/>
      <c r="C9" s="11"/>
      <c r="D9" s="11"/>
      <c r="E9" s="86"/>
      <c r="F9" s="113"/>
      <c r="I9" s="114" t="s">
        <v>103</v>
      </c>
      <c r="N9" s="19"/>
    </row>
    <row r="10">
      <c r="A10" s="115" t="s">
        <v>47</v>
      </c>
      <c r="B10" s="11"/>
      <c r="C10" s="11"/>
      <c r="D10" s="11"/>
      <c r="E10" s="86"/>
      <c r="F10" s="110"/>
      <c r="I10" s="20" t="s">
        <v>104</v>
      </c>
      <c r="J10" s="21"/>
      <c r="K10" s="21"/>
      <c r="L10" s="21"/>
      <c r="M10" s="21"/>
      <c r="N10" s="22"/>
    </row>
    <row r="11">
      <c r="A11" s="116" t="s">
        <v>37</v>
      </c>
      <c r="B11" s="24"/>
      <c r="C11" s="24"/>
      <c r="D11" s="24"/>
      <c r="E11" s="25"/>
      <c r="F11" s="117"/>
      <c r="I11" s="111"/>
    </row>
    <row r="12">
      <c r="A12" s="118" t="s">
        <v>49</v>
      </c>
      <c r="F12" s="118"/>
    </row>
    <row r="13">
      <c r="A13" s="119" t="s">
        <v>50</v>
      </c>
      <c r="B13" s="27"/>
      <c r="C13" s="27"/>
      <c r="D13" s="27"/>
      <c r="E13" s="28"/>
      <c r="F13" s="120"/>
    </row>
    <row r="14">
      <c r="A14" s="121"/>
      <c r="B14" s="121"/>
      <c r="C14" s="121"/>
      <c r="D14" s="121"/>
      <c r="E14" s="117"/>
      <c r="F14" s="117"/>
    </row>
    <row r="15">
      <c r="A15" s="122" t="s">
        <v>51</v>
      </c>
      <c r="B15" s="27"/>
      <c r="C15" s="27"/>
      <c r="D15" s="27"/>
      <c r="E15" s="28"/>
      <c r="F15" s="123"/>
    </row>
    <row r="16">
      <c r="A16" s="119" t="s">
        <v>52</v>
      </c>
      <c r="B16" s="27"/>
      <c r="C16" s="27"/>
      <c r="D16" s="27"/>
      <c r="E16" s="28"/>
      <c r="F16" s="120"/>
    </row>
    <row r="17">
      <c r="A17" s="124" t="str">
        <f>HYPERLINK("https://www.youtube.com/watch?v=qrv8cCA-WCY","WATCH- HOW TO MAX PROPERLY")</f>
        <v>WATCH- HOW TO MAX PROPERLY</v>
      </c>
      <c r="B17" s="27"/>
      <c r="C17" s="27"/>
      <c r="D17" s="27"/>
      <c r="E17" s="28"/>
      <c r="F17" s="125"/>
    </row>
    <row r="18">
      <c r="A18" s="126" t="s">
        <v>53</v>
      </c>
      <c r="B18" s="27"/>
      <c r="C18" s="27"/>
      <c r="D18" s="27"/>
      <c r="E18" s="28"/>
      <c r="F18" s="127"/>
      <c r="I18" s="128" t="str">
        <f>HYPERLINK("https://www.youtube.com/watch?v=ujVN-A0Z-ic","1. DUMBBELL INCLINE CHEST PRESS")</f>
        <v>1. DUMBBELL INCLINE CHEST PRESS</v>
      </c>
      <c r="J18" s="27"/>
      <c r="K18" s="27"/>
      <c r="L18" s="27"/>
      <c r="M18" s="28"/>
      <c r="N18" s="129"/>
      <c r="O18" s="126" t="s">
        <v>54</v>
      </c>
      <c r="P18" s="27"/>
      <c r="Q18" s="27"/>
      <c r="R18" s="27"/>
      <c r="S18" s="28"/>
    </row>
    <row r="19">
      <c r="A19" s="130" t="s">
        <v>18</v>
      </c>
      <c r="B19" s="131" t="s">
        <v>19</v>
      </c>
      <c r="C19" s="131" t="s">
        <v>20</v>
      </c>
      <c r="D19" s="132" t="s">
        <v>21</v>
      </c>
      <c r="E19" s="133" t="s">
        <v>23</v>
      </c>
      <c r="F19" s="134"/>
      <c r="I19" s="130" t="s">
        <v>18</v>
      </c>
      <c r="J19" s="130" t="s">
        <v>19</v>
      </c>
      <c r="K19" s="130" t="s">
        <v>20</v>
      </c>
      <c r="L19" s="135" t="s">
        <v>21</v>
      </c>
      <c r="M19" s="133" t="s">
        <v>23</v>
      </c>
      <c r="O19" s="130" t="s">
        <v>18</v>
      </c>
      <c r="P19" s="131" t="s">
        <v>19</v>
      </c>
      <c r="Q19" s="131" t="s">
        <v>20</v>
      </c>
      <c r="R19" s="132" t="s">
        <v>21</v>
      </c>
      <c r="S19" s="133" t="s">
        <v>23</v>
      </c>
    </row>
    <row r="20">
      <c r="A20" s="136">
        <v>1.0</v>
      </c>
      <c r="B20" s="137">
        <v>85.0</v>
      </c>
      <c r="C20" s="138">
        <v>1.0</v>
      </c>
      <c r="D20" s="139" t="s">
        <v>55</v>
      </c>
      <c r="E20" s="76"/>
      <c r="F20" s="140"/>
      <c r="I20" s="141">
        <v>1.0</v>
      </c>
      <c r="J20" s="137">
        <v>30.0</v>
      </c>
      <c r="K20" s="142">
        <v>4.0</v>
      </c>
      <c r="L20" s="139" t="s">
        <v>55</v>
      </c>
      <c r="M20" s="76"/>
      <c r="O20" s="136">
        <v>1.0</v>
      </c>
      <c r="P20" s="137">
        <v>85.0</v>
      </c>
      <c r="Q20" s="143">
        <v>4.0</v>
      </c>
      <c r="R20" s="139" t="s">
        <v>55</v>
      </c>
      <c r="S20" s="76"/>
    </row>
    <row r="21">
      <c r="A21" s="136">
        <v>2.0</v>
      </c>
      <c r="B21" s="137">
        <v>135.0</v>
      </c>
      <c r="C21" s="138">
        <v>1.0</v>
      </c>
      <c r="D21" s="139" t="s">
        <v>55</v>
      </c>
      <c r="E21" s="76"/>
      <c r="F21" s="140"/>
      <c r="I21" s="141">
        <v>2.0</v>
      </c>
      <c r="J21" s="137">
        <v>40.0</v>
      </c>
      <c r="K21" s="142">
        <v>4.0</v>
      </c>
      <c r="L21" s="139" t="s">
        <v>55</v>
      </c>
      <c r="M21" s="76"/>
      <c r="O21" s="136">
        <v>2.0</v>
      </c>
      <c r="P21" s="137">
        <v>135.0</v>
      </c>
      <c r="Q21" s="143">
        <v>4.0</v>
      </c>
      <c r="R21" s="139" t="s">
        <v>55</v>
      </c>
      <c r="S21" s="76"/>
    </row>
    <row r="22">
      <c r="A22" s="136">
        <v>3.0</v>
      </c>
      <c r="B22" s="137">
        <v>155.0</v>
      </c>
      <c r="C22" s="138">
        <v>1.0</v>
      </c>
      <c r="D22" s="139" t="s">
        <v>55</v>
      </c>
      <c r="E22" s="76"/>
      <c r="F22" s="140"/>
      <c r="I22" s="141">
        <v>3.0</v>
      </c>
      <c r="J22" s="137">
        <v>60.0</v>
      </c>
      <c r="K22" s="142">
        <v>4.0</v>
      </c>
      <c r="L22" s="139" t="s">
        <v>55</v>
      </c>
      <c r="M22" s="76"/>
      <c r="O22" s="136">
        <v>3.0</v>
      </c>
      <c r="P22" s="137">
        <v>155.0</v>
      </c>
      <c r="Q22" s="143">
        <v>4.0</v>
      </c>
      <c r="R22" s="139" t="s">
        <v>55</v>
      </c>
      <c r="S22" s="76"/>
    </row>
    <row r="23">
      <c r="A23" s="136">
        <v>4.0</v>
      </c>
      <c r="B23" s="137">
        <v>170.0</v>
      </c>
      <c r="C23" s="138">
        <v>1.0</v>
      </c>
      <c r="D23" s="139" t="s">
        <v>55</v>
      </c>
      <c r="E23" s="76"/>
      <c r="F23" s="140"/>
      <c r="I23" s="141">
        <v>4.0</v>
      </c>
      <c r="J23" s="137">
        <v>70.0</v>
      </c>
      <c r="K23" s="142">
        <v>4.0</v>
      </c>
      <c r="L23" s="139" t="s">
        <v>55</v>
      </c>
      <c r="M23" s="76"/>
      <c r="O23" s="136">
        <v>4.0</v>
      </c>
      <c r="P23" s="137">
        <v>170.0</v>
      </c>
      <c r="Q23" s="143">
        <v>4.0</v>
      </c>
      <c r="R23" s="139" t="s">
        <v>55</v>
      </c>
      <c r="S23" s="76"/>
    </row>
    <row r="24">
      <c r="A24" s="136">
        <v>5.0</v>
      </c>
      <c r="B24" s="137">
        <v>185.0</v>
      </c>
      <c r="C24" s="138">
        <v>1.0</v>
      </c>
      <c r="D24" s="139" t="s">
        <v>55</v>
      </c>
      <c r="E24" s="76"/>
      <c r="F24" s="140"/>
      <c r="I24" s="141">
        <v>5.0</v>
      </c>
      <c r="J24" s="137">
        <v>80.0</v>
      </c>
      <c r="K24" s="142">
        <v>4.0</v>
      </c>
      <c r="L24" s="139" t="s">
        <v>55</v>
      </c>
      <c r="M24" s="76"/>
      <c r="O24" s="136">
        <v>5.0</v>
      </c>
      <c r="P24" s="137">
        <v>185.0</v>
      </c>
      <c r="Q24" s="143">
        <v>4.0</v>
      </c>
      <c r="R24" s="139" t="s">
        <v>55</v>
      </c>
      <c r="S24" s="76"/>
    </row>
    <row r="25">
      <c r="A25" s="136">
        <v>6.0</v>
      </c>
      <c r="B25" s="137">
        <v>205.0</v>
      </c>
      <c r="C25" s="138">
        <v>1.0</v>
      </c>
      <c r="D25" s="139" t="s">
        <v>55</v>
      </c>
      <c r="E25" s="76"/>
      <c r="F25" s="140"/>
      <c r="I25" s="141">
        <v>6.0</v>
      </c>
      <c r="J25" s="137">
        <v>90.0</v>
      </c>
      <c r="K25" s="142">
        <v>4.0</v>
      </c>
      <c r="L25" s="139" t="s">
        <v>55</v>
      </c>
      <c r="M25" s="76"/>
      <c r="O25" s="136">
        <v>6.0</v>
      </c>
      <c r="P25" s="137">
        <v>205.0</v>
      </c>
      <c r="Q25" s="143">
        <v>4.0</v>
      </c>
      <c r="R25" s="139" t="s">
        <v>55</v>
      </c>
      <c r="S25" s="76"/>
    </row>
    <row r="26">
      <c r="A26" s="136">
        <v>7.0</v>
      </c>
      <c r="B26" s="137">
        <v>225.0</v>
      </c>
      <c r="C26" s="138">
        <v>1.0</v>
      </c>
      <c r="D26" s="139" t="s">
        <v>55</v>
      </c>
      <c r="E26" s="76"/>
      <c r="F26" s="140"/>
      <c r="I26" s="141">
        <v>7.0</v>
      </c>
      <c r="J26" s="137">
        <v>100.0</v>
      </c>
      <c r="K26" s="142">
        <v>4.0</v>
      </c>
      <c r="L26" s="139" t="s">
        <v>55</v>
      </c>
      <c r="M26" s="76"/>
      <c r="O26" s="136">
        <v>7.0</v>
      </c>
      <c r="P26" s="137">
        <v>225.0</v>
      </c>
      <c r="Q26" s="143">
        <v>4.0</v>
      </c>
      <c r="R26" s="139" t="s">
        <v>55</v>
      </c>
      <c r="S26" s="76"/>
    </row>
    <row r="27">
      <c r="A27" s="136">
        <v>8.0</v>
      </c>
      <c r="B27" s="137">
        <v>240.0</v>
      </c>
      <c r="C27" s="138">
        <v>1.0</v>
      </c>
      <c r="D27" s="139" t="s">
        <v>55</v>
      </c>
      <c r="E27" s="76"/>
      <c r="F27" s="140"/>
      <c r="I27" s="141">
        <v>8.0</v>
      </c>
      <c r="J27" s="137">
        <v>110.0</v>
      </c>
      <c r="K27" s="142">
        <v>4.0</v>
      </c>
      <c r="L27" s="139" t="s">
        <v>55</v>
      </c>
      <c r="M27" s="76"/>
      <c r="O27" s="136">
        <v>8.0</v>
      </c>
      <c r="P27" s="137">
        <v>240.0</v>
      </c>
      <c r="Q27" s="143">
        <v>4.0</v>
      </c>
      <c r="R27" s="139" t="s">
        <v>55</v>
      </c>
      <c r="S27" s="76"/>
    </row>
    <row r="28">
      <c r="A28" s="136">
        <v>9.0</v>
      </c>
      <c r="B28" s="137">
        <v>260.0</v>
      </c>
      <c r="C28" s="138">
        <v>1.0</v>
      </c>
      <c r="D28" s="139" t="s">
        <v>55</v>
      </c>
      <c r="E28" s="76"/>
      <c r="F28" s="140"/>
      <c r="I28" s="141">
        <v>9.0</v>
      </c>
      <c r="J28" s="137">
        <v>120.0</v>
      </c>
      <c r="K28" s="142">
        <v>4.0</v>
      </c>
      <c r="L28" s="139" t="s">
        <v>55</v>
      </c>
      <c r="M28" s="76"/>
      <c r="O28" s="136">
        <v>9.0</v>
      </c>
      <c r="P28" s="137">
        <v>260.0</v>
      </c>
      <c r="Q28" s="143">
        <v>4.0</v>
      </c>
      <c r="R28" s="139" t="s">
        <v>55</v>
      </c>
      <c r="S28" s="76"/>
    </row>
    <row r="29">
      <c r="A29" s="136">
        <v>10.0</v>
      </c>
      <c r="B29" s="137">
        <v>280.0</v>
      </c>
      <c r="C29" s="138">
        <v>1.0</v>
      </c>
      <c r="D29" s="139" t="s">
        <v>55</v>
      </c>
      <c r="E29" s="144"/>
      <c r="F29" s="145"/>
      <c r="I29" s="141">
        <v>10.0</v>
      </c>
      <c r="J29" s="137">
        <v>130.0</v>
      </c>
      <c r="K29" s="142">
        <v>4.0</v>
      </c>
      <c r="L29" s="139" t="s">
        <v>55</v>
      </c>
      <c r="M29" s="76"/>
      <c r="O29" s="136">
        <v>10.0</v>
      </c>
      <c r="P29" s="137">
        <v>280.0</v>
      </c>
      <c r="Q29" s="143">
        <v>4.0</v>
      </c>
      <c r="R29" s="139" t="s">
        <v>55</v>
      </c>
      <c r="S29" s="76"/>
    </row>
    <row r="30">
      <c r="A30" s="136">
        <v>11.0</v>
      </c>
      <c r="B30" s="137">
        <v>305.0</v>
      </c>
      <c r="C30" s="138">
        <v>1.0</v>
      </c>
      <c r="D30" s="139" t="s">
        <v>55</v>
      </c>
      <c r="E30" s="144"/>
      <c r="F30" s="145"/>
      <c r="I30" s="141">
        <v>11.0</v>
      </c>
      <c r="J30" s="137">
        <v>140.0</v>
      </c>
      <c r="K30" s="142">
        <v>4.0</v>
      </c>
      <c r="L30" s="139" t="s">
        <v>55</v>
      </c>
      <c r="M30" s="144"/>
      <c r="O30" s="136">
        <v>11.0</v>
      </c>
      <c r="P30" s="137">
        <v>305.0</v>
      </c>
      <c r="Q30" s="143">
        <v>4.0</v>
      </c>
      <c r="R30" s="139" t="s">
        <v>55</v>
      </c>
      <c r="S30" s="76"/>
    </row>
    <row r="31">
      <c r="A31" s="146" t="s">
        <v>56</v>
      </c>
      <c r="B31" s="11"/>
      <c r="C31" s="11"/>
      <c r="D31" s="12"/>
      <c r="E31" s="147">
        <v>245.0</v>
      </c>
      <c r="F31" s="148"/>
      <c r="I31" s="146" t="s">
        <v>56</v>
      </c>
      <c r="J31" s="11"/>
      <c r="K31" s="11"/>
      <c r="L31" s="12"/>
      <c r="M31" s="147"/>
      <c r="O31" s="146" t="s">
        <v>56</v>
      </c>
      <c r="P31" s="11"/>
      <c r="Q31" s="11"/>
      <c r="R31" s="12"/>
      <c r="S31" s="147"/>
    </row>
    <row r="32">
      <c r="A32" s="111"/>
      <c r="F32" s="111"/>
      <c r="G32" s="111"/>
    </row>
    <row r="33">
      <c r="A33" s="149" t="str">
        <f>HYPERLINK("https://www.youtube.com/watch?v=PnaDzYh2axA","2. Lat Pull Down")</f>
        <v>2. Lat Pull Down</v>
      </c>
      <c r="B33" s="27"/>
      <c r="C33" s="27"/>
      <c r="D33" s="27"/>
      <c r="E33" s="28"/>
      <c r="F33" s="150"/>
    </row>
    <row r="34">
      <c r="A34" s="151"/>
      <c r="B34" s="4"/>
      <c r="C34" s="4"/>
      <c r="D34" s="4"/>
      <c r="E34" s="4"/>
      <c r="F34" s="111"/>
    </row>
    <row r="35">
      <c r="A35" s="130" t="s">
        <v>57</v>
      </c>
      <c r="B35" s="131" t="s">
        <v>58</v>
      </c>
      <c r="C35" s="131" t="s">
        <v>59</v>
      </c>
      <c r="D35" s="132" t="s">
        <v>21</v>
      </c>
      <c r="E35" s="133" t="s">
        <v>23</v>
      </c>
      <c r="F35" s="134"/>
    </row>
    <row r="36">
      <c r="A36" s="152" t="s">
        <v>60</v>
      </c>
      <c r="B36" s="137">
        <v>70.0</v>
      </c>
      <c r="C36" s="143">
        <v>4.0</v>
      </c>
      <c r="D36" s="139" t="s">
        <v>55</v>
      </c>
      <c r="E36" s="76"/>
      <c r="F36" s="140"/>
    </row>
    <row r="37">
      <c r="A37" s="153" t="s">
        <v>61</v>
      </c>
      <c r="B37" s="137">
        <v>90.0</v>
      </c>
      <c r="C37" s="143">
        <v>4.0</v>
      </c>
      <c r="D37" s="139" t="s">
        <v>55</v>
      </c>
      <c r="E37" s="76"/>
      <c r="F37" s="140"/>
    </row>
    <row r="38">
      <c r="A38" s="153" t="s">
        <v>62</v>
      </c>
      <c r="B38" s="137">
        <v>110.0</v>
      </c>
      <c r="C38" s="143">
        <v>4.0</v>
      </c>
      <c r="D38" s="139" t="s">
        <v>55</v>
      </c>
      <c r="E38" s="76"/>
      <c r="F38" s="140"/>
    </row>
    <row r="39">
      <c r="A39" s="153" t="s">
        <v>63</v>
      </c>
      <c r="B39" s="137">
        <v>130.0</v>
      </c>
      <c r="C39" s="143">
        <v>4.0</v>
      </c>
      <c r="D39" s="139" t="s">
        <v>55</v>
      </c>
      <c r="E39" s="76"/>
      <c r="F39" s="140"/>
    </row>
    <row r="40">
      <c r="A40" s="153" t="s">
        <v>64</v>
      </c>
      <c r="B40" s="137">
        <v>160.0</v>
      </c>
      <c r="C40" s="143">
        <v>4.0</v>
      </c>
      <c r="D40" s="139" t="s">
        <v>55</v>
      </c>
      <c r="E40" s="76"/>
      <c r="F40" s="140"/>
    </row>
    <row r="41">
      <c r="A41" s="153" t="s">
        <v>65</v>
      </c>
      <c r="B41" s="137">
        <v>180.0</v>
      </c>
      <c r="C41" s="143">
        <v>4.0</v>
      </c>
      <c r="D41" s="139" t="s">
        <v>55</v>
      </c>
      <c r="E41" s="76"/>
      <c r="F41" s="140"/>
    </row>
    <row r="42">
      <c r="A42" s="153" t="s">
        <v>66</v>
      </c>
      <c r="B42" s="137">
        <v>200.0</v>
      </c>
      <c r="C42" s="143">
        <v>4.0</v>
      </c>
      <c r="D42" s="139" t="s">
        <v>55</v>
      </c>
      <c r="E42" s="76"/>
      <c r="F42" s="140"/>
    </row>
    <row r="43">
      <c r="A43" s="153" t="s">
        <v>67</v>
      </c>
      <c r="B43" s="137">
        <v>210.0</v>
      </c>
      <c r="C43" s="143">
        <v>4.0</v>
      </c>
      <c r="D43" s="139" t="s">
        <v>55</v>
      </c>
      <c r="E43" s="76"/>
      <c r="F43" s="140"/>
    </row>
    <row r="44">
      <c r="A44" s="153" t="s">
        <v>68</v>
      </c>
      <c r="B44" s="137">
        <v>220.0</v>
      </c>
      <c r="C44" s="143">
        <v>4.0</v>
      </c>
      <c r="D44" s="139" t="s">
        <v>55</v>
      </c>
      <c r="E44" s="76"/>
      <c r="F44" s="140"/>
    </row>
    <row r="45">
      <c r="A45" s="153" t="s">
        <v>69</v>
      </c>
      <c r="B45" s="137">
        <v>230.0</v>
      </c>
      <c r="C45" s="143">
        <v>4.0</v>
      </c>
      <c r="D45" s="139" t="s">
        <v>55</v>
      </c>
      <c r="E45" s="76"/>
      <c r="F45" s="140"/>
    </row>
    <row r="46">
      <c r="A46" s="153" t="s">
        <v>70</v>
      </c>
      <c r="B46" s="137">
        <v>240.0</v>
      </c>
      <c r="C46" s="143">
        <v>4.0</v>
      </c>
      <c r="D46" s="139" t="s">
        <v>55</v>
      </c>
      <c r="E46" s="144"/>
      <c r="F46" s="145"/>
    </row>
    <row r="47">
      <c r="A47" s="146" t="s">
        <v>56</v>
      </c>
      <c r="B47" s="11"/>
      <c r="C47" s="11"/>
      <c r="D47" s="12"/>
      <c r="E47" s="147">
        <v>250.0</v>
      </c>
      <c r="F47" s="148"/>
    </row>
    <row r="48">
      <c r="A48" s="111"/>
      <c r="F48" s="111"/>
    </row>
    <row r="49">
      <c r="F49" s="111"/>
    </row>
    <row r="50">
      <c r="A50" s="149" t="str">
        <f>HYPERLINK("https://www.youtube.com/watch?v=9YH1YvZbiY0","3. Machine Low Row")</f>
        <v>3. Machine Low Row</v>
      </c>
      <c r="B50" s="27"/>
      <c r="C50" s="27"/>
      <c r="D50" s="27"/>
      <c r="E50" s="28"/>
      <c r="F50" s="154"/>
    </row>
    <row r="51">
      <c r="A51" s="130" t="s">
        <v>18</v>
      </c>
      <c r="B51" s="131" t="s">
        <v>19</v>
      </c>
      <c r="C51" s="131" t="s">
        <v>20</v>
      </c>
      <c r="D51" s="132" t="s">
        <v>21</v>
      </c>
      <c r="E51" s="133" t="s">
        <v>23</v>
      </c>
      <c r="F51" s="134"/>
    </row>
    <row r="52">
      <c r="A52" s="152" t="s">
        <v>60</v>
      </c>
      <c r="B52" s="137">
        <v>70.0</v>
      </c>
      <c r="C52" s="143">
        <v>4.0</v>
      </c>
      <c r="D52" s="139" t="s">
        <v>55</v>
      </c>
      <c r="E52" s="76"/>
      <c r="F52" s="140"/>
    </row>
    <row r="53">
      <c r="A53" s="153" t="s">
        <v>61</v>
      </c>
      <c r="B53" s="137">
        <v>90.0</v>
      </c>
      <c r="C53" s="143">
        <v>4.0</v>
      </c>
      <c r="D53" s="139" t="s">
        <v>55</v>
      </c>
      <c r="E53" s="144"/>
      <c r="F53" s="145"/>
    </row>
    <row r="54">
      <c r="A54" s="153" t="s">
        <v>62</v>
      </c>
      <c r="B54" s="137">
        <v>110.0</v>
      </c>
      <c r="C54" s="143">
        <v>4.0</v>
      </c>
      <c r="D54" s="139" t="s">
        <v>55</v>
      </c>
      <c r="E54" s="144"/>
      <c r="F54" s="145"/>
    </row>
    <row r="55">
      <c r="A55" s="153" t="s">
        <v>63</v>
      </c>
      <c r="B55" s="137">
        <v>130.0</v>
      </c>
      <c r="C55" s="143">
        <v>4.0</v>
      </c>
      <c r="D55" s="139" t="s">
        <v>55</v>
      </c>
      <c r="E55" s="144"/>
      <c r="F55" s="145"/>
    </row>
    <row r="56">
      <c r="A56" s="153" t="s">
        <v>64</v>
      </c>
      <c r="B56" s="137">
        <v>160.0</v>
      </c>
      <c r="C56" s="143">
        <v>4.0</v>
      </c>
      <c r="D56" s="139" t="s">
        <v>55</v>
      </c>
      <c r="E56" s="144"/>
      <c r="F56" s="145"/>
    </row>
    <row r="57">
      <c r="A57" s="153" t="s">
        <v>65</v>
      </c>
      <c r="B57" s="137">
        <v>180.0</v>
      </c>
      <c r="C57" s="143">
        <v>4.0</v>
      </c>
      <c r="D57" s="139" t="s">
        <v>55</v>
      </c>
      <c r="E57" s="144"/>
      <c r="F57" s="145"/>
    </row>
    <row r="58">
      <c r="A58" s="153" t="s">
        <v>66</v>
      </c>
      <c r="B58" s="137">
        <v>200.0</v>
      </c>
      <c r="C58" s="143">
        <v>4.0</v>
      </c>
      <c r="D58" s="139" t="s">
        <v>55</v>
      </c>
      <c r="E58" s="144"/>
      <c r="F58" s="145"/>
    </row>
    <row r="59">
      <c r="A59" s="153" t="s">
        <v>67</v>
      </c>
      <c r="B59" s="137">
        <v>210.0</v>
      </c>
      <c r="C59" s="143">
        <v>4.0</v>
      </c>
      <c r="D59" s="139" t="s">
        <v>55</v>
      </c>
      <c r="E59" s="144"/>
      <c r="F59" s="145"/>
    </row>
    <row r="60">
      <c r="A60" s="153" t="s">
        <v>68</v>
      </c>
      <c r="B60" s="137">
        <v>220.0</v>
      </c>
      <c r="C60" s="143">
        <v>4.0</v>
      </c>
      <c r="D60" s="139" t="s">
        <v>55</v>
      </c>
      <c r="E60" s="144"/>
      <c r="F60" s="145"/>
    </row>
    <row r="61">
      <c r="A61" s="153" t="s">
        <v>69</v>
      </c>
      <c r="B61" s="137">
        <v>230.0</v>
      </c>
      <c r="C61" s="143">
        <v>4.0</v>
      </c>
      <c r="D61" s="139" t="s">
        <v>55</v>
      </c>
      <c r="E61" s="144"/>
      <c r="F61" s="145"/>
    </row>
    <row r="62">
      <c r="A62" s="153" t="s">
        <v>70</v>
      </c>
      <c r="B62" s="137">
        <v>240.0</v>
      </c>
      <c r="C62" s="143">
        <v>4.0</v>
      </c>
      <c r="D62" s="139" t="s">
        <v>55</v>
      </c>
      <c r="E62" s="144"/>
      <c r="F62" s="145"/>
    </row>
    <row r="63">
      <c r="A63" s="146" t="s">
        <v>56</v>
      </c>
      <c r="B63" s="11"/>
      <c r="C63" s="11"/>
      <c r="D63" s="12"/>
      <c r="E63" s="147">
        <v>205.0</v>
      </c>
      <c r="F63" s="148"/>
    </row>
    <row r="64">
      <c r="A64" s="155"/>
      <c r="F64" s="155"/>
    </row>
    <row r="65">
      <c r="F65" s="155"/>
    </row>
    <row r="66">
      <c r="A66" s="156" t="str">
        <f>HYPERLINK("https://www.youtube.com/watch?v=hMUUvL3FlkE","4. MACHINE HIGH ROW")</f>
        <v>4. MACHINE HIGH ROW</v>
      </c>
      <c r="B66" s="27"/>
      <c r="C66" s="27"/>
      <c r="D66" s="27"/>
      <c r="E66" s="28"/>
      <c r="F66" s="157"/>
    </row>
    <row r="67">
      <c r="A67" s="151"/>
      <c r="B67" s="4"/>
      <c r="C67" s="4"/>
      <c r="D67" s="4"/>
      <c r="E67" s="4"/>
      <c r="F67" s="111"/>
    </row>
    <row r="68">
      <c r="A68" s="130" t="s">
        <v>18</v>
      </c>
      <c r="B68" s="131" t="s">
        <v>19</v>
      </c>
      <c r="C68" s="131" t="s">
        <v>20</v>
      </c>
      <c r="D68" s="132" t="s">
        <v>21</v>
      </c>
      <c r="E68" s="133" t="s">
        <v>23</v>
      </c>
      <c r="F68" s="134"/>
    </row>
    <row r="69">
      <c r="A69" s="152" t="s">
        <v>60</v>
      </c>
      <c r="B69" s="158">
        <v>50.0</v>
      </c>
      <c r="C69" s="143">
        <v>4.0</v>
      </c>
      <c r="D69" s="139" t="s">
        <v>55</v>
      </c>
      <c r="E69" s="144"/>
      <c r="F69" s="145"/>
    </row>
    <row r="70">
      <c r="A70" s="153" t="s">
        <v>61</v>
      </c>
      <c r="B70" s="137">
        <f t="shared" ref="B70:B79" si="1">B69+5</f>
        <v>55</v>
      </c>
      <c r="C70" s="143">
        <v>4.0</v>
      </c>
      <c r="D70" s="139" t="s">
        <v>55</v>
      </c>
      <c r="E70" s="144"/>
      <c r="F70" s="145"/>
    </row>
    <row r="71">
      <c r="A71" s="153" t="s">
        <v>62</v>
      </c>
      <c r="B71" s="137">
        <f t="shared" si="1"/>
        <v>60</v>
      </c>
      <c r="C71" s="143">
        <v>4.0</v>
      </c>
      <c r="D71" s="139" t="s">
        <v>55</v>
      </c>
      <c r="E71" s="144"/>
      <c r="F71" s="145"/>
    </row>
    <row r="72">
      <c r="A72" s="153" t="s">
        <v>63</v>
      </c>
      <c r="B72" s="137">
        <f t="shared" si="1"/>
        <v>65</v>
      </c>
      <c r="C72" s="143">
        <v>4.0</v>
      </c>
      <c r="D72" s="139" t="s">
        <v>55</v>
      </c>
      <c r="E72" s="144"/>
      <c r="F72" s="145"/>
    </row>
    <row r="73">
      <c r="A73" s="153" t="s">
        <v>64</v>
      </c>
      <c r="B73" s="137">
        <f t="shared" si="1"/>
        <v>70</v>
      </c>
      <c r="C73" s="143">
        <v>4.0</v>
      </c>
      <c r="D73" s="139" t="s">
        <v>55</v>
      </c>
      <c r="E73" s="144"/>
      <c r="F73" s="145"/>
    </row>
    <row r="74">
      <c r="A74" s="153" t="s">
        <v>65</v>
      </c>
      <c r="B74" s="137">
        <f t="shared" si="1"/>
        <v>75</v>
      </c>
      <c r="C74" s="143">
        <v>4.0</v>
      </c>
      <c r="D74" s="139" t="s">
        <v>55</v>
      </c>
      <c r="E74" s="144"/>
      <c r="F74" s="145"/>
    </row>
    <row r="75">
      <c r="A75" s="153" t="s">
        <v>66</v>
      </c>
      <c r="B75" s="137">
        <f t="shared" si="1"/>
        <v>80</v>
      </c>
      <c r="C75" s="143">
        <v>4.0</v>
      </c>
      <c r="D75" s="139" t="s">
        <v>55</v>
      </c>
      <c r="E75" s="144"/>
      <c r="F75" s="145"/>
    </row>
    <row r="76">
      <c r="A76" s="153" t="s">
        <v>67</v>
      </c>
      <c r="B76" s="137">
        <f t="shared" si="1"/>
        <v>85</v>
      </c>
      <c r="C76" s="143">
        <v>4.0</v>
      </c>
      <c r="D76" s="139" t="s">
        <v>55</v>
      </c>
      <c r="E76" s="144"/>
      <c r="F76" s="145"/>
    </row>
    <row r="77">
      <c r="A77" s="153" t="s">
        <v>68</v>
      </c>
      <c r="B77" s="137">
        <f t="shared" si="1"/>
        <v>90</v>
      </c>
      <c r="C77" s="143">
        <v>4.0</v>
      </c>
      <c r="D77" s="139" t="s">
        <v>55</v>
      </c>
      <c r="E77" s="144"/>
      <c r="F77" s="145"/>
    </row>
    <row r="78">
      <c r="A78" s="153" t="s">
        <v>69</v>
      </c>
      <c r="B78" s="137">
        <f t="shared" si="1"/>
        <v>95</v>
      </c>
      <c r="C78" s="143">
        <v>4.0</v>
      </c>
      <c r="D78" s="139" t="s">
        <v>55</v>
      </c>
      <c r="E78" s="144"/>
      <c r="F78" s="145"/>
    </row>
    <row r="79">
      <c r="A79" s="153" t="s">
        <v>70</v>
      </c>
      <c r="B79" s="137">
        <f t="shared" si="1"/>
        <v>100</v>
      </c>
      <c r="C79" s="143">
        <v>4.0</v>
      </c>
      <c r="D79" s="139" t="s">
        <v>55</v>
      </c>
      <c r="E79" s="144"/>
      <c r="F79" s="145"/>
    </row>
    <row r="80">
      <c r="A80" s="146" t="s">
        <v>56</v>
      </c>
      <c r="B80" s="11"/>
      <c r="C80" s="11"/>
      <c r="D80" s="12"/>
      <c r="E80" s="147">
        <v>60.0</v>
      </c>
      <c r="F80" s="148"/>
    </row>
    <row r="81">
      <c r="A81" s="111"/>
      <c r="F81" s="111"/>
    </row>
    <row r="82">
      <c r="F82" s="111"/>
    </row>
    <row r="83">
      <c r="A83" s="159" t="s">
        <v>27</v>
      </c>
      <c r="B83" s="27"/>
      <c r="C83" s="27"/>
      <c r="D83" s="27"/>
      <c r="E83" s="28"/>
      <c r="F83" s="113"/>
    </row>
    <row r="84">
      <c r="A84" s="160" t="s">
        <v>71</v>
      </c>
      <c r="E84" s="19"/>
      <c r="F84" s="161"/>
    </row>
    <row r="85">
      <c r="A85" s="162" t="s">
        <v>37</v>
      </c>
      <c r="B85" s="2"/>
      <c r="C85" s="2"/>
      <c r="D85" s="2"/>
      <c r="E85" s="37"/>
      <c r="F85" s="117"/>
    </row>
    <row r="86">
      <c r="A86" s="108"/>
      <c r="F86" s="108"/>
    </row>
    <row r="87">
      <c r="A87" s="119" t="s">
        <v>50</v>
      </c>
      <c r="B87" s="27"/>
      <c r="C87" s="27"/>
      <c r="D87" s="27"/>
      <c r="E87" s="28"/>
      <c r="F87" s="120"/>
    </row>
    <row r="88">
      <c r="A88" s="121"/>
      <c r="F88" s="121"/>
    </row>
    <row r="89">
      <c r="A89" s="122" t="s">
        <v>51</v>
      </c>
      <c r="B89" s="27"/>
      <c r="C89" s="27"/>
      <c r="D89" s="27"/>
      <c r="E89" s="28"/>
      <c r="F89" s="123"/>
    </row>
    <row r="90">
      <c r="A90" s="119" t="s">
        <v>52</v>
      </c>
      <c r="B90" s="27"/>
      <c r="C90" s="27"/>
      <c r="D90" s="27"/>
      <c r="E90" s="28"/>
      <c r="F90" s="120"/>
    </row>
    <row r="91">
      <c r="A91" s="111"/>
      <c r="F91" s="111"/>
    </row>
    <row r="92">
      <c r="A92" s="149" t="str">
        <f>HYPERLINK("https://www.youtube.com/watch?v=dVterVQksD4","1. Leg Press")</f>
        <v>1. Leg Press</v>
      </c>
      <c r="B92" s="27"/>
      <c r="C92" s="27"/>
      <c r="D92" s="27"/>
      <c r="E92" s="28"/>
      <c r="F92" s="154"/>
    </row>
    <row r="93">
      <c r="A93" s="151"/>
      <c r="B93" s="4"/>
      <c r="C93" s="4"/>
      <c r="D93" s="4"/>
      <c r="E93" s="4"/>
      <c r="F93" s="111"/>
    </row>
    <row r="94">
      <c r="A94" s="130" t="s">
        <v>18</v>
      </c>
      <c r="B94" s="131" t="s">
        <v>19</v>
      </c>
      <c r="C94" s="131" t="s">
        <v>20</v>
      </c>
      <c r="D94" s="132" t="s">
        <v>21</v>
      </c>
      <c r="E94" s="133" t="s">
        <v>23</v>
      </c>
      <c r="F94" s="134"/>
    </row>
    <row r="95">
      <c r="A95" s="153" t="s">
        <v>72</v>
      </c>
      <c r="B95" s="137">
        <v>100.0</v>
      </c>
      <c r="C95" s="143">
        <v>10.0</v>
      </c>
      <c r="D95" s="139" t="s">
        <v>55</v>
      </c>
      <c r="E95" s="144"/>
      <c r="F95" s="145"/>
    </row>
    <row r="96">
      <c r="A96" s="153" t="s">
        <v>61</v>
      </c>
      <c r="B96" s="137">
        <v>130.0</v>
      </c>
      <c r="C96" s="143">
        <v>10.0</v>
      </c>
      <c r="D96" s="139" t="s">
        <v>55</v>
      </c>
      <c r="E96" s="144"/>
      <c r="F96" s="145"/>
    </row>
    <row r="97">
      <c r="A97" s="153"/>
      <c r="B97" s="137"/>
      <c r="C97" s="143"/>
      <c r="D97" s="139"/>
      <c r="E97" s="144"/>
      <c r="F97" s="145"/>
    </row>
    <row r="98">
      <c r="A98" s="153"/>
      <c r="B98" s="137"/>
      <c r="C98" s="143"/>
      <c r="D98" s="139"/>
      <c r="E98" s="144"/>
      <c r="F98" s="145"/>
    </row>
    <row r="99">
      <c r="A99" s="153" t="s">
        <v>62</v>
      </c>
      <c r="B99" s="137">
        <v>160.0</v>
      </c>
      <c r="C99" s="143">
        <v>10.0</v>
      </c>
      <c r="D99" s="139" t="s">
        <v>55</v>
      </c>
      <c r="E99" s="144"/>
      <c r="F99" s="145"/>
    </row>
    <row r="100">
      <c r="A100" s="153" t="s">
        <v>63</v>
      </c>
      <c r="B100" s="137">
        <v>190.0</v>
      </c>
      <c r="C100" s="143">
        <v>10.0</v>
      </c>
      <c r="D100" s="139" t="s">
        <v>55</v>
      </c>
      <c r="E100" s="144"/>
      <c r="F100" s="145"/>
    </row>
    <row r="101">
      <c r="A101" s="153" t="s">
        <v>64</v>
      </c>
      <c r="B101" s="137">
        <v>220.0</v>
      </c>
      <c r="C101" s="143">
        <v>10.0</v>
      </c>
      <c r="D101" s="139" t="s">
        <v>55</v>
      </c>
      <c r="E101" s="144"/>
      <c r="F101" s="145"/>
    </row>
    <row r="102">
      <c r="A102" s="153" t="s">
        <v>65</v>
      </c>
      <c r="B102" s="137">
        <v>250.0</v>
      </c>
      <c r="C102" s="143">
        <v>10.0</v>
      </c>
      <c r="D102" s="139" t="s">
        <v>55</v>
      </c>
      <c r="E102" s="76"/>
      <c r="F102" s="140"/>
    </row>
    <row r="103">
      <c r="A103" s="153" t="s">
        <v>66</v>
      </c>
      <c r="B103" s="137">
        <v>280.0</v>
      </c>
      <c r="C103" s="143">
        <v>10.0</v>
      </c>
      <c r="D103" s="139" t="s">
        <v>55</v>
      </c>
      <c r="E103" s="76"/>
      <c r="F103" s="140"/>
    </row>
    <row r="104">
      <c r="A104" s="153" t="s">
        <v>67</v>
      </c>
      <c r="B104" s="137">
        <v>310.0</v>
      </c>
      <c r="C104" s="143">
        <v>10.0</v>
      </c>
      <c r="D104" s="139" t="s">
        <v>55</v>
      </c>
      <c r="E104" s="144"/>
      <c r="F104" s="145"/>
    </row>
    <row r="105">
      <c r="A105" s="153" t="s">
        <v>68</v>
      </c>
      <c r="B105" s="137">
        <v>340.0</v>
      </c>
      <c r="C105" s="143">
        <v>10.0</v>
      </c>
      <c r="D105" s="139" t="s">
        <v>55</v>
      </c>
      <c r="E105" s="144"/>
      <c r="F105" s="145"/>
    </row>
    <row r="106">
      <c r="A106" s="153" t="s">
        <v>69</v>
      </c>
      <c r="B106" s="137">
        <v>370.0</v>
      </c>
      <c r="C106" s="143">
        <v>10.0</v>
      </c>
      <c r="D106" s="139" t="s">
        <v>55</v>
      </c>
      <c r="E106" s="144"/>
      <c r="F106" s="145"/>
    </row>
    <row r="107">
      <c r="A107" s="153" t="s">
        <v>70</v>
      </c>
      <c r="B107" s="137">
        <v>400.0</v>
      </c>
      <c r="C107" s="143">
        <v>10.0</v>
      </c>
      <c r="D107" s="139" t="s">
        <v>55</v>
      </c>
      <c r="E107" s="144"/>
      <c r="F107" s="145"/>
    </row>
    <row r="108">
      <c r="A108" s="163" t="s">
        <v>56</v>
      </c>
      <c r="B108" s="7"/>
      <c r="C108" s="7"/>
      <c r="D108" s="8"/>
      <c r="E108" s="147">
        <v>130.0</v>
      </c>
      <c r="F108" s="148"/>
    </row>
    <row r="109">
      <c r="A109" s="164"/>
      <c r="B109" s="7"/>
      <c r="C109" s="7"/>
      <c r="D109" s="7"/>
      <c r="E109" s="7"/>
      <c r="F109" s="111"/>
    </row>
    <row r="110">
      <c r="F110" s="111"/>
    </row>
    <row r="111">
      <c r="A111" s="149" t="str">
        <f>HYPERLINK("https://www.youtube.com/watch?v=NZ9KiFtbiMs","2. Leg Extension")</f>
        <v>2. Leg Extension</v>
      </c>
      <c r="B111" s="27"/>
      <c r="C111" s="27"/>
      <c r="D111" s="27"/>
      <c r="E111" s="28"/>
      <c r="F111" s="150"/>
    </row>
    <row r="112">
      <c r="A112" s="130" t="s">
        <v>18</v>
      </c>
      <c r="B112" s="131" t="s">
        <v>19</v>
      </c>
      <c r="C112" s="131" t="s">
        <v>20</v>
      </c>
      <c r="D112" s="132" t="s">
        <v>21</v>
      </c>
      <c r="E112" s="133" t="s">
        <v>23</v>
      </c>
      <c r="F112" s="134"/>
    </row>
    <row r="113">
      <c r="A113" s="153" t="s">
        <v>72</v>
      </c>
      <c r="B113" s="137">
        <v>50.0</v>
      </c>
      <c r="C113" s="143">
        <v>10.0</v>
      </c>
      <c r="D113" s="139" t="s">
        <v>55</v>
      </c>
      <c r="E113" s="144"/>
      <c r="F113" s="145"/>
    </row>
    <row r="114">
      <c r="A114" s="153" t="s">
        <v>61</v>
      </c>
      <c r="B114" s="137">
        <v>70.0</v>
      </c>
      <c r="C114" s="143">
        <v>10.0</v>
      </c>
      <c r="D114" s="139" t="s">
        <v>55</v>
      </c>
      <c r="E114" s="76"/>
      <c r="F114" s="140"/>
    </row>
    <row r="115">
      <c r="A115" s="153" t="s">
        <v>62</v>
      </c>
      <c r="B115" s="137">
        <v>80.0</v>
      </c>
      <c r="C115" s="143">
        <v>10.0</v>
      </c>
      <c r="D115" s="139" t="s">
        <v>55</v>
      </c>
      <c r="E115" s="76"/>
      <c r="F115" s="140"/>
    </row>
    <row r="116">
      <c r="A116" s="153" t="s">
        <v>63</v>
      </c>
      <c r="B116" s="137">
        <v>100.0</v>
      </c>
      <c r="C116" s="143">
        <v>10.0</v>
      </c>
      <c r="D116" s="139" t="s">
        <v>55</v>
      </c>
      <c r="E116" s="144"/>
      <c r="F116" s="145"/>
    </row>
    <row r="117">
      <c r="A117" s="153" t="s">
        <v>64</v>
      </c>
      <c r="B117" s="137">
        <v>120.0</v>
      </c>
      <c r="C117" s="143">
        <v>10.0</v>
      </c>
      <c r="D117" s="139" t="s">
        <v>55</v>
      </c>
      <c r="E117" s="76"/>
      <c r="F117" s="140"/>
    </row>
    <row r="118">
      <c r="A118" s="153" t="s">
        <v>65</v>
      </c>
      <c r="B118" s="137">
        <v>140.0</v>
      </c>
      <c r="C118" s="143">
        <v>10.0</v>
      </c>
      <c r="D118" s="139" t="s">
        <v>55</v>
      </c>
      <c r="E118" s="76"/>
      <c r="F118" s="140"/>
    </row>
    <row r="119">
      <c r="A119" s="153" t="s">
        <v>66</v>
      </c>
      <c r="B119" s="137">
        <v>160.0</v>
      </c>
      <c r="C119" s="143">
        <v>10.0</v>
      </c>
      <c r="D119" s="139" t="s">
        <v>55</v>
      </c>
      <c r="E119" s="144"/>
      <c r="F119" s="145"/>
    </row>
    <row r="120">
      <c r="A120" s="153" t="s">
        <v>67</v>
      </c>
      <c r="B120" s="137">
        <v>180.0</v>
      </c>
      <c r="C120" s="143">
        <v>10.0</v>
      </c>
      <c r="D120" s="139" t="s">
        <v>55</v>
      </c>
      <c r="E120" s="144"/>
      <c r="F120" s="145"/>
    </row>
    <row r="121">
      <c r="A121" s="153" t="s">
        <v>68</v>
      </c>
      <c r="B121" s="137">
        <v>200.0</v>
      </c>
      <c r="C121" s="143">
        <v>10.0</v>
      </c>
      <c r="D121" s="139" t="s">
        <v>55</v>
      </c>
      <c r="E121" s="144"/>
      <c r="F121" s="145"/>
    </row>
    <row r="122">
      <c r="A122" s="153" t="s">
        <v>69</v>
      </c>
      <c r="B122" s="137">
        <v>220.0</v>
      </c>
      <c r="C122" s="143">
        <v>10.0</v>
      </c>
      <c r="D122" s="139" t="s">
        <v>55</v>
      </c>
      <c r="E122" s="144"/>
      <c r="F122" s="145"/>
    </row>
    <row r="123">
      <c r="A123" s="153" t="s">
        <v>70</v>
      </c>
      <c r="B123" s="137">
        <v>240.0</v>
      </c>
      <c r="C123" s="143">
        <v>10.0</v>
      </c>
      <c r="D123" s="139" t="s">
        <v>55</v>
      </c>
      <c r="E123" s="144"/>
      <c r="F123" s="145"/>
    </row>
    <row r="124">
      <c r="A124" s="146" t="s">
        <v>56</v>
      </c>
      <c r="B124" s="11"/>
      <c r="C124" s="11"/>
      <c r="D124" s="12"/>
      <c r="E124" s="147">
        <v>86.0</v>
      </c>
      <c r="F124" s="148"/>
    </row>
    <row r="125">
      <c r="A125" s="111"/>
      <c r="F125" s="111"/>
    </row>
    <row r="126">
      <c r="A126" s="149" t="str">
        <f>HYPERLINK("https://www.youtube.com/watch?v=XepOfsnGFJg","3. Leg Curl")</f>
        <v>3. Leg Curl</v>
      </c>
      <c r="B126" s="27"/>
      <c r="C126" s="27"/>
      <c r="D126" s="27"/>
      <c r="E126" s="28"/>
      <c r="F126" s="150"/>
    </row>
    <row r="127">
      <c r="A127" s="165" t="s">
        <v>73</v>
      </c>
      <c r="B127" s="27"/>
      <c r="C127" s="27"/>
      <c r="D127" s="27"/>
      <c r="E127" s="28"/>
      <c r="F127" s="166"/>
    </row>
    <row r="128">
      <c r="A128" s="151"/>
      <c r="B128" s="4"/>
      <c r="C128" s="4"/>
      <c r="D128" s="4"/>
      <c r="E128" s="4"/>
      <c r="F128" s="111"/>
    </row>
    <row r="129">
      <c r="A129" s="130" t="s">
        <v>57</v>
      </c>
      <c r="B129" s="131" t="s">
        <v>58</v>
      </c>
      <c r="C129" s="131" t="s">
        <v>59</v>
      </c>
      <c r="D129" s="132" t="s">
        <v>21</v>
      </c>
      <c r="E129" s="133" t="s">
        <v>23</v>
      </c>
      <c r="F129" s="134"/>
    </row>
    <row r="130">
      <c r="A130" s="153" t="s">
        <v>72</v>
      </c>
      <c r="B130" s="137">
        <v>80.0</v>
      </c>
      <c r="C130" s="143">
        <v>10.0</v>
      </c>
      <c r="D130" s="139" t="s">
        <v>55</v>
      </c>
      <c r="E130" s="144"/>
      <c r="F130" s="145"/>
    </row>
    <row r="131">
      <c r="A131" s="153" t="s">
        <v>61</v>
      </c>
      <c r="B131" s="137">
        <v>100.0</v>
      </c>
      <c r="C131" s="143">
        <v>10.0</v>
      </c>
      <c r="D131" s="139" t="s">
        <v>55</v>
      </c>
      <c r="E131" s="76"/>
      <c r="F131" s="140"/>
    </row>
    <row r="132">
      <c r="A132" s="153" t="s">
        <v>62</v>
      </c>
      <c r="B132" s="137">
        <v>120.0</v>
      </c>
      <c r="C132" s="143">
        <v>10.0</v>
      </c>
      <c r="D132" s="139" t="s">
        <v>55</v>
      </c>
      <c r="E132" s="76"/>
      <c r="F132" s="140"/>
    </row>
    <row r="133">
      <c r="A133" s="153" t="s">
        <v>63</v>
      </c>
      <c r="B133" s="137">
        <v>140.0</v>
      </c>
      <c r="C133" s="143">
        <v>10.0</v>
      </c>
      <c r="D133" s="139" t="s">
        <v>55</v>
      </c>
      <c r="E133" s="76"/>
      <c r="F133" s="140"/>
    </row>
    <row r="134">
      <c r="A134" s="153" t="s">
        <v>64</v>
      </c>
      <c r="B134" s="137">
        <v>160.0</v>
      </c>
      <c r="C134" s="143">
        <v>10.0</v>
      </c>
      <c r="D134" s="139" t="s">
        <v>55</v>
      </c>
      <c r="E134" s="144"/>
      <c r="F134" s="145"/>
    </row>
    <row r="135">
      <c r="A135" s="153" t="s">
        <v>65</v>
      </c>
      <c r="B135" s="137">
        <v>180.0</v>
      </c>
      <c r="C135" s="143">
        <v>10.0</v>
      </c>
      <c r="D135" s="139" t="s">
        <v>55</v>
      </c>
      <c r="E135" s="144"/>
      <c r="F135" s="145"/>
    </row>
    <row r="136">
      <c r="A136" s="153" t="s">
        <v>66</v>
      </c>
      <c r="B136" s="137">
        <v>200.0</v>
      </c>
      <c r="C136" s="143">
        <v>10.0</v>
      </c>
      <c r="D136" s="139" t="s">
        <v>55</v>
      </c>
      <c r="E136" s="144"/>
      <c r="F136" s="145"/>
    </row>
    <row r="137">
      <c r="A137" s="153" t="s">
        <v>67</v>
      </c>
      <c r="B137" s="137">
        <v>220.0</v>
      </c>
      <c r="C137" s="143">
        <v>10.0</v>
      </c>
      <c r="D137" s="139" t="s">
        <v>55</v>
      </c>
      <c r="E137" s="144"/>
      <c r="F137" s="145"/>
    </row>
    <row r="138">
      <c r="A138" s="153" t="s">
        <v>68</v>
      </c>
      <c r="B138" s="137">
        <v>240.0</v>
      </c>
      <c r="C138" s="143">
        <v>10.0</v>
      </c>
      <c r="D138" s="139" t="s">
        <v>55</v>
      </c>
      <c r="E138" s="144"/>
      <c r="F138" s="145"/>
    </row>
    <row r="139">
      <c r="A139" s="153" t="s">
        <v>69</v>
      </c>
      <c r="B139" s="137">
        <v>260.0</v>
      </c>
      <c r="C139" s="143">
        <v>10.0</v>
      </c>
      <c r="D139" s="139" t="s">
        <v>55</v>
      </c>
      <c r="E139" s="144"/>
      <c r="F139" s="145"/>
    </row>
    <row r="140">
      <c r="A140" s="153" t="s">
        <v>70</v>
      </c>
      <c r="B140" s="137">
        <v>280.0</v>
      </c>
      <c r="C140" s="143">
        <v>10.0</v>
      </c>
      <c r="D140" s="139" t="s">
        <v>55</v>
      </c>
      <c r="E140" s="144"/>
      <c r="F140" s="145"/>
    </row>
    <row r="141">
      <c r="A141" s="146" t="s">
        <v>56</v>
      </c>
      <c r="B141" s="11"/>
      <c r="C141" s="11"/>
      <c r="D141" s="12"/>
      <c r="E141" s="147">
        <v>100.0</v>
      </c>
      <c r="F141" s="148"/>
    </row>
    <row r="142">
      <c r="A142" s="155"/>
      <c r="F142" s="155"/>
    </row>
    <row r="143">
      <c r="F143" s="155"/>
    </row>
    <row r="144">
      <c r="A144" s="167" t="s">
        <v>30</v>
      </c>
      <c r="B144" s="44"/>
      <c r="C144" s="44"/>
      <c r="D144" s="44"/>
      <c r="E144" s="45"/>
      <c r="F144" s="113"/>
    </row>
    <row r="145">
      <c r="A145" s="168" t="s">
        <v>74</v>
      </c>
      <c r="B145" s="11"/>
      <c r="C145" s="11"/>
      <c r="D145" s="11"/>
      <c r="E145" s="86"/>
      <c r="F145" s="161"/>
    </row>
    <row r="146">
      <c r="A146" s="116" t="s">
        <v>37</v>
      </c>
      <c r="B146" s="24"/>
      <c r="C146" s="24"/>
      <c r="D146" s="24"/>
      <c r="E146" s="25"/>
      <c r="F146" s="117"/>
    </row>
    <row r="147">
      <c r="A147" s="108"/>
      <c r="F147" s="108"/>
    </row>
    <row r="148">
      <c r="A148" s="119" t="s">
        <v>50</v>
      </c>
      <c r="B148" s="27"/>
      <c r="C148" s="27"/>
      <c r="D148" s="27"/>
      <c r="E148" s="28"/>
      <c r="F148" s="120"/>
    </row>
    <row r="149">
      <c r="A149" s="121"/>
      <c r="F149" s="121"/>
    </row>
    <row r="150">
      <c r="A150" s="169" t="s">
        <v>51</v>
      </c>
      <c r="B150" s="27"/>
      <c r="C150" s="27"/>
      <c r="D150" s="27"/>
      <c r="E150" s="28"/>
      <c r="F150" s="170"/>
    </row>
    <row r="151">
      <c r="A151" s="119" t="s">
        <v>52</v>
      </c>
      <c r="B151" s="27"/>
      <c r="C151" s="27"/>
      <c r="D151" s="27"/>
      <c r="E151" s="28"/>
      <c r="F151" s="120"/>
    </row>
    <row r="152">
      <c r="A152" s="111"/>
      <c r="F152" s="111"/>
    </row>
    <row r="153">
      <c r="A153" s="171" t="str">
        <f>HYPERLINK("https://www.youtube.com/watch?v=rmxOkkd2hUk","1. Dumbbell Shoulder Press")</f>
        <v>1. Dumbbell Shoulder Press</v>
      </c>
      <c r="B153" s="27"/>
      <c r="C153" s="27"/>
      <c r="D153" s="27"/>
      <c r="E153" s="28"/>
      <c r="F153" s="172"/>
    </row>
    <row r="154">
      <c r="A154" s="151"/>
      <c r="B154" s="4"/>
      <c r="C154" s="4"/>
      <c r="D154" s="4"/>
      <c r="E154" s="4"/>
      <c r="F154" s="111"/>
    </row>
    <row r="155">
      <c r="A155" s="130" t="s">
        <v>57</v>
      </c>
      <c r="B155" s="131" t="s">
        <v>58</v>
      </c>
      <c r="C155" s="131" t="s">
        <v>59</v>
      </c>
      <c r="D155" s="132" t="s">
        <v>21</v>
      </c>
      <c r="E155" s="133" t="s">
        <v>23</v>
      </c>
      <c r="F155" s="134"/>
    </row>
    <row r="156">
      <c r="A156" s="153" t="s">
        <v>72</v>
      </c>
      <c r="B156" s="137">
        <v>20.0</v>
      </c>
      <c r="C156" s="173">
        <v>4.0</v>
      </c>
      <c r="D156" s="139" t="s">
        <v>55</v>
      </c>
      <c r="E156" s="76"/>
      <c r="F156" s="140"/>
    </row>
    <row r="157">
      <c r="A157" s="153" t="s">
        <v>61</v>
      </c>
      <c r="B157" s="137">
        <v>30.0</v>
      </c>
      <c r="C157" s="173">
        <v>4.0</v>
      </c>
      <c r="D157" s="139" t="s">
        <v>55</v>
      </c>
      <c r="E157" s="76"/>
      <c r="F157" s="140"/>
    </row>
    <row r="158">
      <c r="A158" s="153" t="s">
        <v>62</v>
      </c>
      <c r="B158" s="137">
        <v>40.0</v>
      </c>
      <c r="C158" s="173">
        <v>4.0</v>
      </c>
      <c r="D158" s="139" t="s">
        <v>55</v>
      </c>
      <c r="E158" s="76"/>
      <c r="F158" s="140"/>
    </row>
    <row r="159">
      <c r="A159" s="153" t="s">
        <v>63</v>
      </c>
      <c r="B159" s="137">
        <v>50.0</v>
      </c>
      <c r="C159" s="173">
        <v>4.0</v>
      </c>
      <c r="D159" s="139" t="s">
        <v>55</v>
      </c>
      <c r="E159" s="76"/>
      <c r="F159" s="140"/>
    </row>
    <row r="160">
      <c r="A160" s="153" t="s">
        <v>64</v>
      </c>
      <c r="B160" s="137">
        <v>60.0</v>
      </c>
      <c r="C160" s="173">
        <v>4.0</v>
      </c>
      <c r="D160" s="139" t="s">
        <v>55</v>
      </c>
      <c r="E160" s="76"/>
      <c r="F160" s="140"/>
    </row>
    <row r="161">
      <c r="A161" s="153" t="s">
        <v>65</v>
      </c>
      <c r="B161" s="137">
        <v>65.0</v>
      </c>
      <c r="C161" s="173">
        <v>4.0</v>
      </c>
      <c r="D161" s="139" t="s">
        <v>55</v>
      </c>
      <c r="E161" s="76"/>
      <c r="F161" s="140"/>
    </row>
    <row r="162">
      <c r="A162" s="153" t="s">
        <v>66</v>
      </c>
      <c r="B162" s="137">
        <v>70.0</v>
      </c>
      <c r="C162" s="173">
        <v>4.0</v>
      </c>
      <c r="D162" s="139" t="s">
        <v>55</v>
      </c>
      <c r="E162" s="76"/>
      <c r="F162" s="140"/>
    </row>
    <row r="163">
      <c r="A163" s="153" t="s">
        <v>67</v>
      </c>
      <c r="B163" s="137">
        <v>75.0</v>
      </c>
      <c r="C163" s="173">
        <v>4.0</v>
      </c>
      <c r="D163" s="139" t="s">
        <v>55</v>
      </c>
      <c r="E163" s="76"/>
      <c r="F163" s="140"/>
    </row>
    <row r="164">
      <c r="A164" s="153" t="s">
        <v>68</v>
      </c>
      <c r="B164" s="137">
        <v>80.0</v>
      </c>
      <c r="C164" s="173">
        <v>4.0</v>
      </c>
      <c r="D164" s="139" t="s">
        <v>55</v>
      </c>
      <c r="E164" s="76"/>
      <c r="F164" s="140"/>
    </row>
    <row r="165">
      <c r="A165" s="153" t="s">
        <v>69</v>
      </c>
      <c r="B165" s="137">
        <v>85.0</v>
      </c>
      <c r="C165" s="173">
        <v>4.0</v>
      </c>
      <c r="D165" s="139" t="s">
        <v>55</v>
      </c>
      <c r="E165" s="76"/>
      <c r="F165" s="140"/>
    </row>
    <row r="166">
      <c r="A166" s="153" t="s">
        <v>70</v>
      </c>
      <c r="B166" s="137">
        <v>90.0</v>
      </c>
      <c r="C166" s="173">
        <v>4.0</v>
      </c>
      <c r="D166" s="139" t="s">
        <v>55</v>
      </c>
      <c r="E166" s="76"/>
      <c r="F166" s="140"/>
    </row>
    <row r="167">
      <c r="A167" s="146" t="s">
        <v>56</v>
      </c>
      <c r="B167" s="11"/>
      <c r="C167" s="11"/>
      <c r="D167" s="12"/>
      <c r="E167" s="147">
        <v>70.0</v>
      </c>
      <c r="F167" s="148"/>
    </row>
    <row r="168">
      <c r="A168" s="111"/>
      <c r="F168" s="111"/>
    </row>
    <row r="169">
      <c r="F169" s="111"/>
    </row>
    <row r="170">
      <c r="A170" s="174" t="str">
        <f>HYPERLINK("https://www.youtube.com/watch?v=TorWpKwLCSg","4. Alternating Dumbbell Curls")</f>
        <v>4. Alternating Dumbbell Curls</v>
      </c>
      <c r="B170" s="27"/>
      <c r="C170" s="27"/>
      <c r="D170" s="27"/>
      <c r="E170" s="28"/>
      <c r="F170" s="175"/>
    </row>
    <row r="171">
      <c r="A171" s="151"/>
      <c r="B171" s="4"/>
      <c r="C171" s="4"/>
      <c r="D171" s="4"/>
      <c r="E171" s="4"/>
      <c r="F171" s="111"/>
    </row>
    <row r="172">
      <c r="A172" s="130" t="s">
        <v>57</v>
      </c>
      <c r="B172" s="131" t="s">
        <v>58</v>
      </c>
      <c r="C172" s="131" t="s">
        <v>59</v>
      </c>
      <c r="D172" s="132" t="s">
        <v>21</v>
      </c>
      <c r="E172" s="133" t="s">
        <v>23</v>
      </c>
      <c r="F172" s="134"/>
    </row>
    <row r="173">
      <c r="A173" s="153">
        <v>1.0</v>
      </c>
      <c r="B173" s="137">
        <v>10.0</v>
      </c>
      <c r="C173" s="143">
        <v>4.0</v>
      </c>
      <c r="D173" s="139" t="s">
        <v>55</v>
      </c>
      <c r="E173" s="144"/>
      <c r="F173" s="145"/>
    </row>
    <row r="174">
      <c r="A174" s="153">
        <v>2.0</v>
      </c>
      <c r="B174" s="137">
        <v>15.0</v>
      </c>
      <c r="C174" s="143">
        <v>4.0</v>
      </c>
      <c r="D174" s="139" t="s">
        <v>55</v>
      </c>
      <c r="E174" s="144"/>
      <c r="F174" s="145"/>
    </row>
    <row r="175">
      <c r="A175" s="153">
        <v>3.0</v>
      </c>
      <c r="B175" s="137">
        <v>20.0</v>
      </c>
      <c r="C175" s="143">
        <v>4.0</v>
      </c>
      <c r="D175" s="139" t="s">
        <v>55</v>
      </c>
      <c r="E175" s="144"/>
      <c r="F175" s="145"/>
    </row>
    <row r="176">
      <c r="A176" s="153">
        <v>4.0</v>
      </c>
      <c r="B176" s="137">
        <v>25.0</v>
      </c>
      <c r="C176" s="143">
        <v>4.0</v>
      </c>
      <c r="D176" s="139" t="s">
        <v>55</v>
      </c>
      <c r="E176" s="144"/>
      <c r="F176" s="145"/>
    </row>
    <row r="177">
      <c r="A177" s="153">
        <v>5.0</v>
      </c>
      <c r="B177" s="137">
        <v>30.0</v>
      </c>
      <c r="C177" s="143">
        <v>4.0</v>
      </c>
      <c r="D177" s="139" t="s">
        <v>55</v>
      </c>
      <c r="E177" s="144"/>
      <c r="F177" s="145"/>
    </row>
    <row r="178">
      <c r="A178" s="153">
        <v>6.0</v>
      </c>
      <c r="B178" s="137">
        <v>35.0</v>
      </c>
      <c r="C178" s="143">
        <v>4.0</v>
      </c>
      <c r="D178" s="139" t="s">
        <v>55</v>
      </c>
      <c r="E178" s="144"/>
      <c r="F178" s="145"/>
    </row>
    <row r="179">
      <c r="A179" s="153">
        <v>7.0</v>
      </c>
      <c r="B179" s="137">
        <v>40.0</v>
      </c>
      <c r="C179" s="143">
        <v>4.0</v>
      </c>
      <c r="D179" s="139" t="s">
        <v>55</v>
      </c>
      <c r="E179" s="144"/>
      <c r="F179" s="145"/>
    </row>
    <row r="180">
      <c r="A180" s="153">
        <v>8.0</v>
      </c>
      <c r="B180" s="137">
        <v>45.0</v>
      </c>
      <c r="C180" s="143">
        <v>4.0</v>
      </c>
      <c r="D180" s="139" t="s">
        <v>55</v>
      </c>
      <c r="E180" s="144"/>
      <c r="F180" s="145"/>
    </row>
    <row r="181">
      <c r="A181" s="153">
        <v>9.0</v>
      </c>
      <c r="B181" s="137">
        <v>50.0</v>
      </c>
      <c r="C181" s="143">
        <v>4.0</v>
      </c>
      <c r="D181" s="139" t="s">
        <v>55</v>
      </c>
      <c r="E181" s="144"/>
      <c r="F181" s="145"/>
    </row>
    <row r="182">
      <c r="A182" s="153">
        <v>10.0</v>
      </c>
      <c r="B182" s="137">
        <v>55.0</v>
      </c>
      <c r="C182" s="143">
        <v>4.0</v>
      </c>
      <c r="D182" s="139" t="s">
        <v>55</v>
      </c>
      <c r="E182" s="144"/>
      <c r="F182" s="145"/>
    </row>
    <row r="183">
      <c r="A183" s="153">
        <v>11.0</v>
      </c>
      <c r="B183" s="137">
        <v>60.0</v>
      </c>
      <c r="C183" s="143">
        <v>4.0</v>
      </c>
      <c r="D183" s="139" t="s">
        <v>55</v>
      </c>
      <c r="E183" s="144"/>
      <c r="F183" s="145"/>
    </row>
    <row r="184">
      <c r="A184" s="153">
        <v>12.0</v>
      </c>
      <c r="B184" s="137">
        <v>65.0</v>
      </c>
      <c r="C184" s="143">
        <v>4.0</v>
      </c>
      <c r="D184" s="139" t="s">
        <v>55</v>
      </c>
      <c r="E184" s="144"/>
      <c r="F184" s="145"/>
    </row>
    <row r="185">
      <c r="A185" s="153">
        <v>13.0</v>
      </c>
      <c r="B185" s="137">
        <v>70.0</v>
      </c>
      <c r="C185" s="143">
        <v>4.0</v>
      </c>
      <c r="D185" s="139" t="s">
        <v>55</v>
      </c>
      <c r="E185" s="144"/>
      <c r="F185" s="145"/>
    </row>
    <row r="186">
      <c r="A186" s="153">
        <v>14.0</v>
      </c>
      <c r="B186" s="137">
        <v>75.0</v>
      </c>
      <c r="C186" s="143">
        <v>4.0</v>
      </c>
      <c r="D186" s="139" t="s">
        <v>55</v>
      </c>
      <c r="E186" s="144"/>
      <c r="F186" s="145"/>
    </row>
    <row r="187">
      <c r="A187" s="153">
        <v>15.0</v>
      </c>
      <c r="B187" s="137">
        <v>80.0</v>
      </c>
      <c r="C187" s="143">
        <v>4.0</v>
      </c>
      <c r="D187" s="139" t="s">
        <v>55</v>
      </c>
      <c r="E187" s="144"/>
      <c r="F187" s="145"/>
    </row>
    <row r="188">
      <c r="A188" s="153">
        <v>16.0</v>
      </c>
      <c r="B188" s="137">
        <v>85.0</v>
      </c>
      <c r="C188" s="143">
        <v>4.0</v>
      </c>
      <c r="D188" s="139" t="s">
        <v>55</v>
      </c>
      <c r="E188" s="144"/>
      <c r="F188" s="145"/>
    </row>
    <row r="189">
      <c r="A189" s="153">
        <v>17.0</v>
      </c>
      <c r="B189" s="137">
        <v>90.0</v>
      </c>
      <c r="C189" s="143">
        <v>4.0</v>
      </c>
      <c r="D189" s="139" t="s">
        <v>55</v>
      </c>
      <c r="E189" s="144"/>
      <c r="F189" s="145"/>
    </row>
    <row r="190">
      <c r="A190" s="153">
        <v>18.0</v>
      </c>
      <c r="B190" s="137">
        <v>95.0</v>
      </c>
      <c r="C190" s="143">
        <v>4.0</v>
      </c>
      <c r="D190" s="139" t="s">
        <v>55</v>
      </c>
      <c r="E190" s="144"/>
      <c r="F190" s="145"/>
    </row>
    <row r="191">
      <c r="A191" s="153">
        <v>19.0</v>
      </c>
      <c r="B191" s="137">
        <v>100.0</v>
      </c>
      <c r="C191" s="143">
        <v>4.0</v>
      </c>
      <c r="D191" s="139" t="s">
        <v>55</v>
      </c>
      <c r="E191" s="144"/>
      <c r="F191" s="145"/>
    </row>
    <row r="192">
      <c r="A192" s="153">
        <v>20.0</v>
      </c>
      <c r="B192" s="137">
        <v>105.0</v>
      </c>
      <c r="C192" s="143">
        <v>4.0</v>
      </c>
      <c r="D192" s="139" t="s">
        <v>55</v>
      </c>
      <c r="E192" s="144"/>
      <c r="F192" s="145"/>
    </row>
    <row r="193">
      <c r="A193" s="146" t="s">
        <v>56</v>
      </c>
      <c r="B193" s="11"/>
      <c r="C193" s="11"/>
      <c r="D193" s="12"/>
      <c r="E193" s="147">
        <v>40.0</v>
      </c>
      <c r="F193" s="148"/>
    </row>
    <row r="194">
      <c r="A194" s="111"/>
      <c r="F194" s="111"/>
    </row>
    <row r="195">
      <c r="F195" s="111"/>
    </row>
    <row r="196">
      <c r="A196" s="149" t="str">
        <f>HYPERLINK("https://www.youtube.com/watch?v=Yke__29qVfo","5. Tricep Push Down ")</f>
        <v>5. Tricep Push Down </v>
      </c>
      <c r="B196" s="27"/>
      <c r="C196" s="27"/>
      <c r="D196" s="27"/>
      <c r="E196" s="28"/>
      <c r="F196" s="150"/>
    </row>
    <row r="197">
      <c r="A197" s="151"/>
      <c r="B197" s="4"/>
      <c r="C197" s="4"/>
      <c r="D197" s="4"/>
      <c r="E197" s="4"/>
      <c r="F197" s="111"/>
    </row>
    <row r="198">
      <c r="A198" s="130" t="s">
        <v>57</v>
      </c>
      <c r="B198" s="131" t="s">
        <v>58</v>
      </c>
      <c r="C198" s="131" t="s">
        <v>59</v>
      </c>
      <c r="D198" s="132" t="s">
        <v>21</v>
      </c>
      <c r="E198" s="133" t="s">
        <v>23</v>
      </c>
      <c r="F198" s="134"/>
    </row>
    <row r="199">
      <c r="A199" s="153" t="s">
        <v>72</v>
      </c>
      <c r="B199" s="137">
        <v>10.0</v>
      </c>
      <c r="C199" s="143">
        <v>5.0</v>
      </c>
      <c r="D199" s="139" t="s">
        <v>55</v>
      </c>
      <c r="E199" s="144"/>
      <c r="F199" s="145"/>
    </row>
    <row r="200">
      <c r="A200" s="153" t="s">
        <v>61</v>
      </c>
      <c r="B200" s="137">
        <v>20.0</v>
      </c>
      <c r="C200" s="143">
        <v>5.0</v>
      </c>
      <c r="D200" s="139" t="s">
        <v>55</v>
      </c>
      <c r="E200" s="144"/>
      <c r="F200" s="145"/>
    </row>
    <row r="201">
      <c r="A201" s="153" t="s">
        <v>62</v>
      </c>
      <c r="B201" s="137">
        <v>30.0</v>
      </c>
      <c r="C201" s="143">
        <v>5.0</v>
      </c>
      <c r="D201" s="139" t="s">
        <v>55</v>
      </c>
      <c r="E201" s="144"/>
      <c r="F201" s="145"/>
    </row>
    <row r="202">
      <c r="A202" s="153" t="s">
        <v>63</v>
      </c>
      <c r="B202" s="137">
        <v>40.0</v>
      </c>
      <c r="C202" s="143">
        <v>5.0</v>
      </c>
      <c r="D202" s="139" t="s">
        <v>55</v>
      </c>
      <c r="E202" s="144"/>
      <c r="F202" s="145"/>
    </row>
    <row r="203">
      <c r="A203" s="153" t="s">
        <v>64</v>
      </c>
      <c r="B203" s="137">
        <v>50.0</v>
      </c>
      <c r="C203" s="143">
        <v>5.0</v>
      </c>
      <c r="D203" s="139" t="s">
        <v>55</v>
      </c>
      <c r="E203" s="144"/>
      <c r="F203" s="145"/>
    </row>
    <row r="204">
      <c r="A204" s="153" t="s">
        <v>65</v>
      </c>
      <c r="B204" s="137">
        <v>60.0</v>
      </c>
      <c r="C204" s="143">
        <v>5.0</v>
      </c>
      <c r="D204" s="139" t="s">
        <v>55</v>
      </c>
      <c r="E204" s="144"/>
      <c r="F204" s="145"/>
    </row>
    <row r="205">
      <c r="A205" s="153" t="s">
        <v>66</v>
      </c>
      <c r="B205" s="137">
        <v>70.0</v>
      </c>
      <c r="C205" s="143">
        <v>5.0</v>
      </c>
      <c r="D205" s="139" t="s">
        <v>55</v>
      </c>
      <c r="E205" s="144"/>
      <c r="F205" s="145"/>
    </row>
    <row r="206">
      <c r="A206" s="153" t="s">
        <v>67</v>
      </c>
      <c r="B206" s="137">
        <v>80.0</v>
      </c>
      <c r="C206" s="143">
        <v>5.0</v>
      </c>
      <c r="D206" s="139" t="s">
        <v>55</v>
      </c>
      <c r="E206" s="144"/>
      <c r="F206" s="145"/>
    </row>
    <row r="207">
      <c r="A207" s="153" t="s">
        <v>68</v>
      </c>
      <c r="B207" s="137">
        <v>90.0</v>
      </c>
      <c r="C207" s="143">
        <v>5.0</v>
      </c>
      <c r="D207" s="139" t="s">
        <v>55</v>
      </c>
      <c r="E207" s="76"/>
      <c r="F207" s="140"/>
    </row>
    <row r="208">
      <c r="A208" s="153" t="s">
        <v>69</v>
      </c>
      <c r="B208" s="137">
        <v>100.0</v>
      </c>
      <c r="C208" s="143">
        <v>5.0</v>
      </c>
      <c r="D208" s="139" t="s">
        <v>55</v>
      </c>
      <c r="E208" s="144"/>
      <c r="F208" s="145"/>
    </row>
    <row r="209">
      <c r="A209" s="153" t="s">
        <v>70</v>
      </c>
      <c r="B209" s="137">
        <v>110.0</v>
      </c>
      <c r="C209" s="143">
        <v>5.0</v>
      </c>
      <c r="D209" s="139" t="s">
        <v>55</v>
      </c>
      <c r="E209" s="76"/>
      <c r="F209" s="140"/>
    </row>
    <row r="210">
      <c r="A210" s="153" t="s">
        <v>75</v>
      </c>
      <c r="B210" s="137">
        <v>120.0</v>
      </c>
      <c r="C210" s="143">
        <v>5.0</v>
      </c>
      <c r="D210" s="139" t="s">
        <v>55</v>
      </c>
      <c r="E210" s="144"/>
      <c r="F210" s="145"/>
    </row>
    <row r="211">
      <c r="A211" s="153" t="s">
        <v>76</v>
      </c>
      <c r="B211" s="137">
        <v>130.0</v>
      </c>
      <c r="C211" s="143">
        <v>5.0</v>
      </c>
      <c r="D211" s="139" t="s">
        <v>55</v>
      </c>
      <c r="E211" s="76"/>
      <c r="F211" s="140"/>
    </row>
    <row r="212">
      <c r="A212" s="153" t="s">
        <v>77</v>
      </c>
      <c r="B212" s="137">
        <v>140.0</v>
      </c>
      <c r="C212" s="143">
        <v>5.0</v>
      </c>
      <c r="D212" s="139" t="s">
        <v>55</v>
      </c>
      <c r="E212" s="144"/>
      <c r="F212" s="145"/>
    </row>
    <row r="213">
      <c r="A213" s="153" t="s">
        <v>78</v>
      </c>
      <c r="B213" s="137">
        <v>150.0</v>
      </c>
      <c r="C213" s="143">
        <v>5.0</v>
      </c>
      <c r="D213" s="139" t="s">
        <v>55</v>
      </c>
      <c r="E213" s="144"/>
      <c r="F213" s="145"/>
    </row>
    <row r="214">
      <c r="A214" s="153" t="s">
        <v>79</v>
      </c>
      <c r="B214" s="137">
        <v>160.0</v>
      </c>
      <c r="C214" s="143">
        <v>5.0</v>
      </c>
      <c r="D214" s="139" t="s">
        <v>55</v>
      </c>
      <c r="E214" s="144"/>
      <c r="F214" s="145"/>
    </row>
    <row r="215">
      <c r="A215" s="153" t="s">
        <v>80</v>
      </c>
      <c r="B215" s="137">
        <v>170.0</v>
      </c>
      <c r="C215" s="143">
        <v>5.0</v>
      </c>
      <c r="D215" s="139" t="s">
        <v>55</v>
      </c>
      <c r="E215" s="144"/>
      <c r="F215" s="145"/>
    </row>
    <row r="216">
      <c r="A216" s="146" t="s">
        <v>56</v>
      </c>
      <c r="B216" s="11"/>
      <c r="C216" s="11"/>
      <c r="D216" s="12"/>
      <c r="E216" s="147">
        <v>80.0</v>
      </c>
      <c r="F216" s="148"/>
    </row>
  </sheetData>
  <mergeCells count="76">
    <mergeCell ref="A66:E66"/>
    <mergeCell ref="A67:E67"/>
    <mergeCell ref="A16:E16"/>
    <mergeCell ref="A17:E17"/>
    <mergeCell ref="A47:D47"/>
    <mergeCell ref="A48:E49"/>
    <mergeCell ref="A50:E50"/>
    <mergeCell ref="A63:D63"/>
    <mergeCell ref="A64:E65"/>
    <mergeCell ref="A93:E93"/>
    <mergeCell ref="A108:D108"/>
    <mergeCell ref="A86:E86"/>
    <mergeCell ref="A87:E87"/>
    <mergeCell ref="A88:E88"/>
    <mergeCell ref="A89:E89"/>
    <mergeCell ref="A90:E90"/>
    <mergeCell ref="A91:E91"/>
    <mergeCell ref="A92:E92"/>
    <mergeCell ref="A141:D141"/>
    <mergeCell ref="A142:E143"/>
    <mergeCell ref="A109:E110"/>
    <mergeCell ref="A111:E111"/>
    <mergeCell ref="A124:D124"/>
    <mergeCell ref="A125:E125"/>
    <mergeCell ref="A126:E126"/>
    <mergeCell ref="A127:E127"/>
    <mergeCell ref="A128:E128"/>
    <mergeCell ref="A151:E151"/>
    <mergeCell ref="A152:E152"/>
    <mergeCell ref="A144:E144"/>
    <mergeCell ref="A145:E145"/>
    <mergeCell ref="A146:E146"/>
    <mergeCell ref="A147:E147"/>
    <mergeCell ref="A148:E148"/>
    <mergeCell ref="A149:E149"/>
    <mergeCell ref="A150:E150"/>
    <mergeCell ref="A194:E195"/>
    <mergeCell ref="A196:E196"/>
    <mergeCell ref="A153:E153"/>
    <mergeCell ref="A154:E154"/>
    <mergeCell ref="A167:D167"/>
    <mergeCell ref="A168:E169"/>
    <mergeCell ref="A170:E170"/>
    <mergeCell ref="A171:E171"/>
    <mergeCell ref="A193:D193"/>
    <mergeCell ref="A10:E10"/>
    <mergeCell ref="A11:E11"/>
    <mergeCell ref="A9:E9"/>
    <mergeCell ref="A12:E12"/>
    <mergeCell ref="A18:E18"/>
    <mergeCell ref="I18:M18"/>
    <mergeCell ref="I11:S17"/>
    <mergeCell ref="O18:S18"/>
    <mergeCell ref="G32:S216"/>
    <mergeCell ref="A31:D31"/>
    <mergeCell ref="I31:L31"/>
    <mergeCell ref="A32:E32"/>
    <mergeCell ref="A33:E33"/>
    <mergeCell ref="A34:E34"/>
    <mergeCell ref="A1:S7"/>
    <mergeCell ref="A8:E8"/>
    <mergeCell ref="G8:H31"/>
    <mergeCell ref="I8:N8"/>
    <mergeCell ref="O8:S10"/>
    <mergeCell ref="I9:N9"/>
    <mergeCell ref="N18:N31"/>
    <mergeCell ref="O31:R31"/>
    <mergeCell ref="A197:E197"/>
    <mergeCell ref="A216:D216"/>
    <mergeCell ref="A13:E13"/>
    <mergeCell ref="A15:E15"/>
    <mergeCell ref="A80:D80"/>
    <mergeCell ref="A81:E82"/>
    <mergeCell ref="A83:E83"/>
    <mergeCell ref="A84:E84"/>
    <mergeCell ref="A85:E85"/>
  </mergeCells>
  <dataValidations>
    <dataValidation type="decimal" operator="greaterThanOrEqual" allowBlank="1" showDropDown="1" showErrorMessage="1" sqref="E14:F14 E20:F31 E36:F47 E52:F63 E69:F80 E95:F108 E113:F124 E130:F141 E156:F167 E173:F193 E199:F216">
      <formula1>0.0</formula1>
    </dataValidation>
    <dataValidation type="decimal" allowBlank="1" showDropDown="1" showErrorMessage="1" sqref="M20:M31 S20:S31">
      <formula1>0.0</formula1>
      <formula2>500.0</formula2>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6"/>
      <c r="B1" s="176"/>
      <c r="C1" s="176"/>
      <c r="D1" s="176"/>
      <c r="E1" s="177"/>
      <c r="F1" s="176"/>
      <c r="G1" s="178"/>
      <c r="H1" s="179"/>
      <c r="I1" s="179"/>
      <c r="J1" s="179"/>
      <c r="K1" s="179"/>
      <c r="L1" s="180"/>
      <c r="M1" s="94"/>
      <c r="N1" s="94"/>
      <c r="O1" s="94"/>
      <c r="P1" s="94"/>
      <c r="Q1" s="94"/>
      <c r="R1" s="94"/>
      <c r="S1" s="94"/>
      <c r="T1" s="94"/>
      <c r="U1" s="94"/>
      <c r="V1" s="94"/>
      <c r="W1" s="94"/>
      <c r="X1" s="94"/>
      <c r="Y1" s="94"/>
      <c r="Z1" s="94"/>
    </row>
    <row r="2">
      <c r="A2" s="176"/>
      <c r="B2" s="176"/>
      <c r="C2" s="176"/>
      <c r="D2" s="176"/>
      <c r="E2" s="177"/>
      <c r="F2" s="176"/>
      <c r="G2" s="181"/>
      <c r="H2" s="179"/>
      <c r="I2" s="179"/>
      <c r="J2" s="179"/>
      <c r="K2" s="179"/>
      <c r="L2" s="180"/>
      <c r="M2" s="94"/>
      <c r="N2" s="94"/>
      <c r="O2" s="94"/>
      <c r="P2" s="94"/>
      <c r="Q2" s="94"/>
      <c r="R2" s="94"/>
      <c r="S2" s="94"/>
      <c r="T2" s="94"/>
      <c r="U2" s="94"/>
      <c r="V2" s="94"/>
      <c r="W2" s="94"/>
      <c r="X2" s="94"/>
      <c r="Y2" s="94"/>
      <c r="Z2" s="94"/>
    </row>
    <row r="3">
      <c r="A3" s="176"/>
      <c r="B3" s="176"/>
      <c r="C3" s="176"/>
      <c r="D3" s="176"/>
      <c r="E3" s="177"/>
      <c r="F3" s="176"/>
      <c r="G3" s="182"/>
      <c r="H3" s="179"/>
      <c r="I3" s="179"/>
      <c r="J3" s="179"/>
      <c r="K3" s="179"/>
      <c r="L3" s="180"/>
      <c r="M3" s="94"/>
      <c r="N3" s="94"/>
      <c r="O3" s="94"/>
      <c r="P3" s="94"/>
      <c r="Q3" s="94"/>
      <c r="R3" s="94"/>
      <c r="S3" s="94"/>
      <c r="T3" s="94"/>
      <c r="U3" s="94"/>
      <c r="V3" s="94"/>
      <c r="W3" s="94"/>
      <c r="X3" s="94"/>
      <c r="Y3" s="94"/>
      <c r="Z3" s="94"/>
    </row>
    <row r="4">
      <c r="A4" s="176"/>
      <c r="B4" s="176"/>
      <c r="C4" s="176"/>
      <c r="D4" s="176"/>
      <c r="E4" s="177"/>
      <c r="F4" s="176"/>
      <c r="G4" s="182"/>
      <c r="H4" s="179"/>
      <c r="I4" s="179"/>
      <c r="J4" s="179"/>
      <c r="K4" s="179"/>
      <c r="L4" s="180"/>
      <c r="M4" s="94"/>
      <c r="N4" s="94"/>
      <c r="O4" s="94"/>
      <c r="P4" s="94"/>
      <c r="Q4" s="94"/>
      <c r="R4" s="94"/>
      <c r="S4" s="94"/>
      <c r="T4" s="94"/>
      <c r="U4" s="94"/>
      <c r="V4" s="94"/>
      <c r="W4" s="94"/>
      <c r="X4" s="94"/>
      <c r="Y4" s="94"/>
      <c r="Z4" s="94"/>
    </row>
    <row r="5">
      <c r="A5" s="176"/>
      <c r="B5" s="176"/>
      <c r="C5" s="176"/>
      <c r="D5" s="176"/>
      <c r="E5" s="177"/>
      <c r="F5" s="176"/>
      <c r="G5" s="182"/>
      <c r="H5" s="183"/>
      <c r="I5" s="184"/>
      <c r="J5" s="179"/>
      <c r="K5" s="179"/>
      <c r="L5" s="180"/>
      <c r="M5" s="94"/>
      <c r="N5" s="94"/>
      <c r="O5" s="94"/>
      <c r="P5" s="94"/>
      <c r="Q5" s="94"/>
      <c r="R5" s="94"/>
      <c r="S5" s="94"/>
      <c r="T5" s="94"/>
      <c r="U5" s="94"/>
      <c r="V5" s="94"/>
      <c r="W5" s="94"/>
      <c r="X5" s="94"/>
      <c r="Y5" s="94"/>
      <c r="Z5" s="94"/>
    </row>
    <row r="6">
      <c r="A6" s="176"/>
      <c r="B6" s="176"/>
      <c r="C6" s="176"/>
      <c r="D6" s="176"/>
      <c r="E6" s="177"/>
      <c r="F6" s="176"/>
      <c r="G6" s="182"/>
      <c r="H6" s="179"/>
      <c r="I6" s="179"/>
      <c r="J6" s="179"/>
      <c r="K6" s="179"/>
      <c r="L6" s="180"/>
      <c r="M6" s="94"/>
      <c r="N6" s="94"/>
      <c r="O6" s="94"/>
      <c r="P6" s="94"/>
      <c r="Q6" s="94"/>
      <c r="R6" s="94"/>
      <c r="S6" s="94"/>
      <c r="T6" s="94"/>
      <c r="U6" s="94"/>
      <c r="V6" s="94"/>
      <c r="W6" s="94"/>
      <c r="X6" s="94"/>
      <c r="Y6" s="94"/>
      <c r="Z6" s="94"/>
    </row>
    <row r="7">
      <c r="A7" s="176"/>
      <c r="B7" s="176"/>
      <c r="C7" s="176"/>
      <c r="D7" s="176"/>
      <c r="E7" s="177"/>
      <c r="F7" s="176"/>
      <c r="G7" s="182"/>
      <c r="H7" s="179"/>
      <c r="I7" s="179"/>
      <c r="J7" s="179"/>
      <c r="K7" s="179"/>
      <c r="L7" s="180"/>
      <c r="M7" s="94"/>
      <c r="N7" s="94"/>
      <c r="O7" s="94"/>
      <c r="P7" s="94"/>
      <c r="Q7" s="94"/>
      <c r="R7" s="94"/>
      <c r="S7" s="94"/>
      <c r="T7" s="94"/>
      <c r="U7" s="94"/>
      <c r="V7" s="94"/>
      <c r="W7" s="94"/>
      <c r="X7" s="94"/>
      <c r="Y7" s="94"/>
      <c r="Z7" s="94"/>
    </row>
    <row r="8">
      <c r="A8" s="176"/>
      <c r="G8" s="182"/>
      <c r="H8" s="179"/>
      <c r="I8" s="179"/>
      <c r="J8" s="179"/>
      <c r="K8" s="179"/>
      <c r="L8" s="180"/>
      <c r="M8" s="94"/>
      <c r="N8" s="94"/>
      <c r="O8" s="94"/>
      <c r="P8" s="94"/>
      <c r="Q8" s="94"/>
      <c r="R8" s="94"/>
      <c r="S8" s="94"/>
      <c r="T8" s="94"/>
      <c r="U8" s="94"/>
      <c r="V8" s="94"/>
      <c r="W8" s="94"/>
      <c r="X8" s="94"/>
      <c r="Y8" s="94"/>
      <c r="Z8" s="94"/>
    </row>
    <row r="9">
      <c r="A9" s="185" t="s">
        <v>81</v>
      </c>
      <c r="B9" s="11"/>
      <c r="C9" s="11"/>
      <c r="D9" s="11"/>
      <c r="E9" s="11"/>
      <c r="F9" s="12"/>
      <c r="G9" s="94"/>
      <c r="H9" s="15" t="s">
        <v>3</v>
      </c>
      <c r="I9" s="16"/>
      <c r="J9" s="16"/>
      <c r="K9" s="16"/>
      <c r="L9" s="16"/>
      <c r="M9" s="17"/>
      <c r="N9" s="94"/>
      <c r="O9" s="94"/>
      <c r="P9" s="94"/>
      <c r="Q9" s="94"/>
      <c r="R9" s="94"/>
      <c r="S9" s="94"/>
      <c r="T9" s="94"/>
      <c r="U9" s="94"/>
      <c r="V9" s="94"/>
      <c r="W9" s="94"/>
      <c r="X9" s="94"/>
      <c r="Y9" s="94"/>
      <c r="Z9" s="94"/>
    </row>
    <row r="10">
      <c r="A10" s="6" t="str">
        <f>HYPERLINK("https://goo.gl/forms/3ibooB993Hi7SS2d2","PRESS TO RECORD BODY WEIGHT")</f>
        <v>PRESS TO RECORD BODY WEIGHT</v>
      </c>
      <c r="B10" s="7"/>
      <c r="C10" s="7"/>
      <c r="D10" s="7"/>
      <c r="E10" s="7"/>
      <c r="F10" s="8"/>
      <c r="G10" s="94"/>
      <c r="H10" s="114" t="s">
        <v>105</v>
      </c>
      <c r="M10" s="19"/>
      <c r="N10" s="94"/>
      <c r="O10" s="94"/>
      <c r="P10" s="94"/>
      <c r="Q10" s="94"/>
      <c r="R10" s="94"/>
      <c r="S10" s="94"/>
      <c r="T10" s="94"/>
      <c r="U10" s="94"/>
      <c r="V10" s="94"/>
      <c r="W10" s="94"/>
      <c r="X10" s="94"/>
      <c r="Y10" s="94"/>
      <c r="Z10" s="94"/>
    </row>
    <row r="11">
      <c r="A11" s="9"/>
      <c r="B11" s="4"/>
      <c r="C11" s="4"/>
      <c r="D11" s="4"/>
      <c r="E11" s="4"/>
      <c r="F11" s="5"/>
      <c r="G11" s="94"/>
      <c r="H11" s="20" t="s">
        <v>106</v>
      </c>
      <c r="I11" s="21"/>
      <c r="J11" s="21"/>
      <c r="K11" s="21"/>
      <c r="L11" s="21"/>
      <c r="M11" s="22"/>
      <c r="N11" s="94"/>
      <c r="O11" s="94"/>
      <c r="P11" s="94"/>
      <c r="Q11" s="94"/>
      <c r="R11" s="94"/>
      <c r="S11" s="94"/>
      <c r="T11" s="94"/>
      <c r="U11" s="94"/>
      <c r="V11" s="94"/>
      <c r="W11" s="94"/>
      <c r="X11" s="94"/>
      <c r="Y11" s="94"/>
      <c r="Z11" s="94"/>
    </row>
    <row r="12">
      <c r="A12" s="10" t="s">
        <v>37</v>
      </c>
      <c r="B12" s="11"/>
      <c r="C12" s="11"/>
      <c r="D12" s="11"/>
      <c r="E12" s="11"/>
      <c r="F12" s="12"/>
      <c r="G12" s="94"/>
      <c r="H12" s="186"/>
      <c r="I12" s="187"/>
      <c r="J12" s="188"/>
      <c r="K12" s="186"/>
      <c r="L12" s="189"/>
      <c r="M12" s="94"/>
      <c r="N12" s="94"/>
      <c r="O12" s="94"/>
      <c r="P12" s="94"/>
      <c r="Q12" s="94"/>
      <c r="R12" s="94"/>
      <c r="S12" s="94"/>
      <c r="T12" s="94"/>
      <c r="U12" s="94"/>
      <c r="V12" s="94"/>
      <c r="W12" s="94"/>
      <c r="X12" s="94"/>
      <c r="Y12" s="94"/>
      <c r="Z12" s="94"/>
    </row>
    <row r="13">
      <c r="A13" s="13" t="s">
        <v>84</v>
      </c>
      <c r="B13" s="11"/>
      <c r="C13" s="11"/>
      <c r="D13" s="11"/>
      <c r="E13" s="11"/>
      <c r="F13" s="12"/>
      <c r="G13" s="94"/>
      <c r="H13" s="94"/>
      <c r="I13" s="94"/>
      <c r="J13" s="94"/>
      <c r="K13" s="94"/>
      <c r="L13" s="189"/>
      <c r="M13" s="94"/>
      <c r="N13" s="94"/>
      <c r="O13" s="94"/>
      <c r="P13" s="94"/>
      <c r="Q13" s="94"/>
      <c r="R13" s="94"/>
      <c r="S13" s="94"/>
      <c r="T13" s="94"/>
      <c r="U13" s="94"/>
      <c r="V13" s="94"/>
      <c r="W13" s="94"/>
      <c r="X13" s="94"/>
      <c r="Y13" s="94"/>
      <c r="Z13" s="94"/>
    </row>
    <row r="14">
      <c r="A14" s="186"/>
      <c r="B14" s="186"/>
      <c r="C14" s="186"/>
      <c r="D14" s="186"/>
      <c r="E14" s="190"/>
      <c r="F14" s="94"/>
      <c r="G14" s="94"/>
      <c r="H14" s="186"/>
      <c r="I14" s="186"/>
      <c r="J14" s="186"/>
      <c r="K14" s="94"/>
      <c r="L14" s="189"/>
      <c r="M14" s="94"/>
      <c r="N14" s="94"/>
      <c r="O14" s="94"/>
      <c r="P14" s="94"/>
      <c r="Q14" s="94"/>
      <c r="R14" s="94"/>
      <c r="S14" s="94"/>
      <c r="T14" s="94"/>
      <c r="U14" s="94"/>
      <c r="V14" s="94"/>
      <c r="W14" s="94"/>
      <c r="X14" s="94"/>
      <c r="Y14" s="94"/>
      <c r="Z14" s="94"/>
    </row>
    <row r="15">
      <c r="A15" s="41" t="s">
        <v>15</v>
      </c>
      <c r="B15" s="27"/>
      <c r="C15" s="27"/>
      <c r="D15" s="27"/>
      <c r="E15" s="27"/>
      <c r="F15" s="28"/>
      <c r="G15" s="94"/>
      <c r="H15" s="191" t="s">
        <v>85</v>
      </c>
      <c r="I15" s="27"/>
      <c r="J15" s="27"/>
      <c r="K15" s="27"/>
      <c r="L15" s="27"/>
      <c r="M15" s="28"/>
      <c r="N15" s="94"/>
      <c r="O15" s="191" t="s">
        <v>85</v>
      </c>
      <c r="P15" s="27"/>
      <c r="Q15" s="27"/>
      <c r="R15" s="27"/>
      <c r="S15" s="27"/>
      <c r="T15" s="28"/>
      <c r="U15" s="94"/>
      <c r="V15" s="94"/>
      <c r="W15" s="94"/>
      <c r="X15" s="94"/>
      <c r="Y15" s="94"/>
      <c r="Z15" s="94"/>
    </row>
    <row r="16">
      <c r="A16" s="186"/>
      <c r="B16" s="186"/>
      <c r="C16" s="186"/>
      <c r="D16" s="186"/>
      <c r="E16" s="190"/>
      <c r="F16" s="94"/>
      <c r="G16" s="94"/>
      <c r="H16" s="186"/>
      <c r="I16" s="186"/>
      <c r="J16" s="186"/>
      <c r="K16" s="94"/>
      <c r="L16" s="189"/>
      <c r="M16" s="94"/>
      <c r="N16" s="94"/>
      <c r="O16" s="94"/>
      <c r="P16" s="94"/>
      <c r="Q16" s="94"/>
      <c r="R16" s="94"/>
      <c r="S16" s="94"/>
      <c r="T16" s="94"/>
      <c r="U16" s="94"/>
      <c r="V16" s="94"/>
      <c r="W16" s="94"/>
      <c r="X16" s="94"/>
      <c r="Y16" s="94"/>
      <c r="Z16" s="94"/>
    </row>
    <row r="17">
      <c r="A17" s="186"/>
      <c r="B17" s="186"/>
      <c r="C17" s="186"/>
      <c r="D17" s="186"/>
      <c r="E17" s="190"/>
      <c r="F17" s="94"/>
      <c r="G17" s="94"/>
      <c r="H17" s="186"/>
      <c r="I17" s="186"/>
      <c r="J17" s="186"/>
      <c r="K17" s="94"/>
      <c r="L17" s="189"/>
      <c r="M17" s="94"/>
      <c r="N17" s="94"/>
      <c r="O17" s="94"/>
      <c r="P17" s="94"/>
      <c r="Q17" s="94"/>
      <c r="R17" s="94"/>
      <c r="S17" s="94"/>
      <c r="T17" s="94"/>
      <c r="U17" s="94"/>
      <c r="V17" s="94"/>
      <c r="W17" s="94"/>
      <c r="X17" s="94"/>
      <c r="Y17" s="94"/>
      <c r="Z17" s="94"/>
    </row>
    <row r="18">
      <c r="A18" s="42" t="s">
        <v>16</v>
      </c>
      <c r="B18" s="27"/>
      <c r="C18" s="27"/>
      <c r="D18" s="27"/>
      <c r="E18" s="27"/>
      <c r="F18" s="28"/>
      <c r="G18" s="94"/>
      <c r="H18" s="42" t="s">
        <v>16</v>
      </c>
      <c r="I18" s="27"/>
      <c r="J18" s="27"/>
      <c r="K18" s="27"/>
      <c r="L18" s="27"/>
      <c r="M18" s="28"/>
      <c r="N18" s="94"/>
      <c r="O18" s="42" t="s">
        <v>16</v>
      </c>
      <c r="P18" s="27"/>
      <c r="Q18" s="27"/>
      <c r="R18" s="27"/>
      <c r="S18" s="27"/>
      <c r="T18" s="28"/>
      <c r="U18" s="94"/>
      <c r="V18" s="94"/>
      <c r="W18" s="94"/>
      <c r="X18" s="94"/>
      <c r="Y18" s="94"/>
      <c r="Z18" s="94"/>
    </row>
    <row r="19">
      <c r="A19" s="192" t="str">
        <f>HYPERLINK("https://www.youtube.com/watch?v=iLgUDezDMbU","1. BENCH PRESS")</f>
        <v>1. BENCH PRESS</v>
      </c>
      <c r="B19" s="4"/>
      <c r="C19" s="4"/>
      <c r="D19" s="4"/>
      <c r="E19" s="4"/>
      <c r="F19" s="48"/>
      <c r="G19" s="94"/>
      <c r="H19" s="192" t="str">
        <f>HYPERLINK("https://www.youtube.com/watch?v=75e_H9Vq_Lw","1. MACHINE PRESS")</f>
        <v>1. MACHINE PRESS</v>
      </c>
      <c r="I19" s="4"/>
      <c r="J19" s="4"/>
      <c r="K19" s="4"/>
      <c r="L19" s="4"/>
      <c r="M19" s="48"/>
      <c r="N19" s="94"/>
      <c r="O19" s="43" t="str">
        <f>HYPERLINK("https://youtu.be/ujVN-A0Z-ic","1. DUMBBELL INCLINE PRESS")</f>
        <v>1. DUMBBELL INCLINE PRESS</v>
      </c>
      <c r="P19" s="44"/>
      <c r="Q19" s="44"/>
      <c r="R19" s="44"/>
      <c r="S19" s="44"/>
      <c r="T19" s="45"/>
      <c r="U19" s="94"/>
      <c r="V19" s="94"/>
      <c r="W19" s="94"/>
      <c r="X19" s="94"/>
      <c r="Y19" s="94"/>
      <c r="Z19" s="94"/>
    </row>
    <row r="20">
      <c r="A20" s="193" t="s">
        <v>86</v>
      </c>
      <c r="B20" s="194">
        <f>'Copy of DETERMINING MAX WEEK 1'!E31</f>
        <v>245</v>
      </c>
      <c r="C20" s="11"/>
      <c r="D20" s="11"/>
      <c r="E20" s="11"/>
      <c r="F20" s="86"/>
      <c r="G20" s="94"/>
      <c r="H20" s="193" t="s">
        <v>86</v>
      </c>
      <c r="I20" s="194">
        <v>120.0</v>
      </c>
      <c r="J20" s="11"/>
      <c r="K20" s="11"/>
      <c r="L20" s="11"/>
      <c r="M20" s="86"/>
      <c r="N20" s="94"/>
      <c r="O20" s="195" t="s">
        <v>86</v>
      </c>
      <c r="P20" s="196">
        <v>75.0</v>
      </c>
      <c r="Q20" s="7"/>
      <c r="R20" s="7"/>
      <c r="S20" s="7"/>
      <c r="T20" s="197"/>
      <c r="U20" s="94"/>
      <c r="V20" s="94"/>
      <c r="W20" s="94"/>
      <c r="X20" s="94"/>
      <c r="Y20" s="94"/>
      <c r="Z20" s="94"/>
    </row>
    <row r="21">
      <c r="A21" s="198" t="s">
        <v>18</v>
      </c>
      <c r="B21" s="199" t="s">
        <v>19</v>
      </c>
      <c r="C21" s="199" t="s">
        <v>20</v>
      </c>
      <c r="D21" s="199" t="s">
        <v>21</v>
      </c>
      <c r="E21" s="200" t="s">
        <v>22</v>
      </c>
      <c r="F21" s="52" t="s">
        <v>23</v>
      </c>
      <c r="G21" s="201"/>
      <c r="H21" s="198" t="s">
        <v>18</v>
      </c>
      <c r="I21" s="199" t="s">
        <v>19</v>
      </c>
      <c r="J21" s="199" t="s">
        <v>20</v>
      </c>
      <c r="K21" s="199" t="s">
        <v>21</v>
      </c>
      <c r="L21" s="200" t="s">
        <v>22</v>
      </c>
      <c r="M21" s="52" t="s">
        <v>23</v>
      </c>
      <c r="N21" s="201"/>
      <c r="O21" s="87" t="s">
        <v>18</v>
      </c>
      <c r="P21" s="88" t="s">
        <v>19</v>
      </c>
      <c r="Q21" s="88" t="s">
        <v>20</v>
      </c>
      <c r="R21" s="88" t="s">
        <v>21</v>
      </c>
      <c r="S21" s="89" t="s">
        <v>22</v>
      </c>
      <c r="T21" s="202" t="s">
        <v>23</v>
      </c>
      <c r="U21" s="201"/>
      <c r="V21" s="201"/>
      <c r="W21" s="201"/>
      <c r="X21" s="201"/>
      <c r="Y21" s="201"/>
      <c r="Z21" s="201"/>
    </row>
    <row r="22">
      <c r="A22" s="203">
        <v>1.0</v>
      </c>
      <c r="B22" s="204" t="str">
        <f>IF( 'WEEK 1 '!B20&lt;125,45,mround('WEEK 1 '!B20*0.35,5))</f>
        <v>#REF!</v>
      </c>
      <c r="C22" s="204">
        <v>6.0</v>
      </c>
      <c r="D22" s="205" t="s">
        <v>87</v>
      </c>
      <c r="E22" s="57"/>
      <c r="F22" s="58"/>
      <c r="G22" s="206"/>
      <c r="H22" s="203">
        <v>1.0</v>
      </c>
      <c r="I22" s="204" t="str">
        <f>mround('WEEK 1 '!I20*0.35,5)</f>
        <v>#REF!</v>
      </c>
      <c r="J22" s="204">
        <v>6.0</v>
      </c>
      <c r="K22" s="205" t="s">
        <v>87</v>
      </c>
      <c r="L22" s="57"/>
      <c r="M22" s="58"/>
      <c r="N22" s="206"/>
      <c r="O22" s="207">
        <v>1.0</v>
      </c>
      <c r="P22" s="208" t="str">
        <f>mround('WEEK 1 '!P20*0.35,5)</f>
        <v>#REF!</v>
      </c>
      <c r="Q22" s="208">
        <v>6.0</v>
      </c>
      <c r="R22" s="74" t="s">
        <v>25</v>
      </c>
      <c r="S22" s="75"/>
      <c r="T22" s="76"/>
      <c r="U22" s="206"/>
      <c r="V22" s="206"/>
      <c r="W22" s="206"/>
      <c r="X22" s="206"/>
      <c r="Y22" s="206"/>
      <c r="Z22" s="206"/>
    </row>
    <row r="23">
      <c r="A23" s="203">
        <v>2.0</v>
      </c>
      <c r="B23" s="204" t="str">
        <f>MROUND('WEEK 1 '!B20*0.8,5)</f>
        <v>#REF!</v>
      </c>
      <c r="C23" s="204">
        <v>1.0</v>
      </c>
      <c r="D23" s="205" t="s">
        <v>88</v>
      </c>
      <c r="E23" s="57"/>
      <c r="F23" s="58"/>
      <c r="G23" s="206"/>
      <c r="H23" s="203">
        <v>2.0</v>
      </c>
      <c r="I23" s="204" t="str">
        <f>mround('WEEK 1 '!I20*0.65,5)</f>
        <v>#REF!</v>
      </c>
      <c r="J23" s="204">
        <v>1.0</v>
      </c>
      <c r="K23" s="205" t="s">
        <v>88</v>
      </c>
      <c r="L23" s="57"/>
      <c r="M23" s="58"/>
      <c r="N23" s="206"/>
      <c r="O23" s="207">
        <v>2.0</v>
      </c>
      <c r="P23" s="208" t="str">
        <f>mround('WEEK 1 '!P20*0.65,5)</f>
        <v>#REF!</v>
      </c>
      <c r="Q23" s="208">
        <v>1.0</v>
      </c>
      <c r="R23" s="74" t="s">
        <v>25</v>
      </c>
      <c r="S23" s="75"/>
      <c r="T23" s="76"/>
      <c r="U23" s="206"/>
      <c r="V23" s="206"/>
      <c r="W23" s="206"/>
      <c r="X23" s="206"/>
      <c r="Y23" s="206"/>
      <c r="Z23" s="206"/>
    </row>
    <row r="24">
      <c r="A24" s="209">
        <v>3.0</v>
      </c>
      <c r="B24" s="204" t="str">
        <f>mround('WEEK 1 '!B20*0.9,5)</f>
        <v>#REF!</v>
      </c>
      <c r="C24" s="73">
        <v>1.0</v>
      </c>
      <c r="D24" s="205" t="s">
        <v>88</v>
      </c>
      <c r="E24" s="57"/>
      <c r="F24" s="58"/>
      <c r="G24" s="206"/>
      <c r="H24" s="209">
        <v>3.0</v>
      </c>
      <c r="I24" s="204" t="str">
        <f>mround('WEEK 1 '!I20*0.9,5)</f>
        <v>#REF!</v>
      </c>
      <c r="J24" s="73">
        <v>1.0</v>
      </c>
      <c r="K24" s="205" t="s">
        <v>88</v>
      </c>
      <c r="L24" s="57"/>
      <c r="M24" s="58"/>
      <c r="N24" s="206"/>
      <c r="O24" s="207">
        <v>3.0</v>
      </c>
      <c r="P24" s="208" t="str">
        <f>mround('WEEK 1 '!P20*0.85,5)</f>
        <v>#REF!</v>
      </c>
      <c r="Q24" s="54">
        <v>1.0</v>
      </c>
      <c r="R24" s="74" t="s">
        <v>25</v>
      </c>
      <c r="S24" s="75"/>
      <c r="T24" s="76"/>
      <c r="U24" s="206"/>
      <c r="V24" s="206">
        <f>90*0.93</f>
        <v>83.7</v>
      </c>
      <c r="W24" s="206"/>
      <c r="X24" s="206"/>
      <c r="Y24" s="206"/>
      <c r="Z24" s="206"/>
    </row>
    <row r="25">
      <c r="A25" s="210">
        <v>4.0</v>
      </c>
      <c r="B25" s="204" t="str">
        <f>'WEEK 1 '!B20</f>
        <v>#REF!</v>
      </c>
      <c r="C25" s="142">
        <v>1.0</v>
      </c>
      <c r="D25" s="205" t="s">
        <v>89</v>
      </c>
      <c r="E25" s="57"/>
      <c r="F25" s="58"/>
      <c r="G25" s="206"/>
      <c r="H25" s="210">
        <v>4.0</v>
      </c>
      <c r="I25" s="204" t="str">
        <f>'WEEK 1 '!I20</f>
        <v>#REF!</v>
      </c>
      <c r="J25" s="142">
        <v>1.0</v>
      </c>
      <c r="K25" s="205" t="s">
        <v>89</v>
      </c>
      <c r="L25" s="57"/>
      <c r="M25" s="58"/>
      <c r="N25" s="206"/>
      <c r="O25" s="211">
        <v>4.0</v>
      </c>
      <c r="P25" s="208" t="str">
        <f>mround('WEEK 1 '!P20*1,5)</f>
        <v>#REF!</v>
      </c>
      <c r="Q25" s="212" t="s">
        <v>33</v>
      </c>
      <c r="R25" s="74" t="s">
        <v>25</v>
      </c>
      <c r="S25" s="75"/>
      <c r="T25" s="76"/>
      <c r="U25" s="206"/>
      <c r="V25" s="206"/>
      <c r="W25" s="206"/>
      <c r="X25" s="206"/>
      <c r="Y25" s="206"/>
      <c r="Z25" s="206"/>
    </row>
    <row r="26">
      <c r="A26" s="213" t="str">
        <f>IF('WEEK 1 '!F25&lt;1,"PROCEED TO DOWN SETS","NEW 1 REP MAX ATTEMPT")</f>
        <v>#REF!</v>
      </c>
      <c r="B26" s="11"/>
      <c r="C26" s="11"/>
      <c r="D26" s="11"/>
      <c r="E26" s="11"/>
      <c r="F26" s="86"/>
      <c r="G26" s="214" t="s">
        <v>90</v>
      </c>
      <c r="H26" s="213" t="str">
        <f>IF('WEEK 1 '!M25&lt;1,"PROCEED TO DOWN SETS","NEW 1 REP MAX ATTEMPT")</f>
        <v>#REF!</v>
      </c>
      <c r="I26" s="11"/>
      <c r="J26" s="11"/>
      <c r="K26" s="11"/>
      <c r="L26" s="11"/>
      <c r="M26" s="86"/>
      <c r="N26" s="214" t="s">
        <v>90</v>
      </c>
      <c r="O26" s="215" t="str">
        <f>IF(OR(ISBLANK('WEEK 1 '!T25),ISBLANK('WEEK 1 '!T24),ISBLANK('WEEK 1 '!T23)),"PROCEED TO DOWNSETS",if('WEEK 1 '!T25&gt;=6,"NEW 4 REP MAX ATTEMPT","PROCEED TO DOWN SETS"))</f>
        <v>#REF!</v>
      </c>
      <c r="T26" s="19"/>
      <c r="U26" s="201"/>
      <c r="V26" s="201"/>
      <c r="W26" s="201"/>
      <c r="X26" s="201"/>
      <c r="Y26" s="201"/>
      <c r="Z26" s="201"/>
    </row>
    <row r="27">
      <c r="A27" s="216" t="str">
        <f>if('WEEK 1 '!F25&lt;1,"",5)</f>
        <v>#REF!</v>
      </c>
      <c r="B27" s="142" t="str">
        <f>IF('WEEK 1 '!F25&lt;1,"",B25+5)</f>
        <v>#REF!</v>
      </c>
      <c r="C27" s="205" t="str">
        <f>if('WEEK 1 '!F25&lt;1,"",1)</f>
        <v>#REF!</v>
      </c>
      <c r="D27" s="205" t="str">
        <f>if('WEEK 1 '!F25&lt;1,"","1-5 MIN")</f>
        <v>#REF!</v>
      </c>
      <c r="E27" s="217"/>
      <c r="F27" s="58"/>
      <c r="H27" s="216" t="str">
        <f>if('WEEK 1 '!M25&lt;1,"",5)</f>
        <v>#REF!</v>
      </c>
      <c r="I27" s="142" t="str">
        <f>IF('WEEK 1 '!M25&lt;1,"",I25+5)</f>
        <v>#REF!</v>
      </c>
      <c r="J27" s="205" t="str">
        <f>if('WEEK 1 '!M25&lt;1,"",1)</f>
        <v>#REF!</v>
      </c>
      <c r="K27" s="205" t="str">
        <f>if('WEEK 1 '!M25&lt;1,"","1-5 MIN")</f>
        <v>#REF!</v>
      </c>
      <c r="L27" s="217"/>
      <c r="M27" s="58"/>
      <c r="O27" s="218" t="str">
        <f>IF(OR(ISBLANK('WEEK 1 '!T25),ISBLANK('WEEK 1 '!T24),ISBLANK('WEEK 1 '!T23)),"",IF('WEEK 1 '!T25&gt;=6,5,""))</f>
        <v>#REF!</v>
      </c>
      <c r="P27" s="219" t="str">
        <f>IF(OR(ISBLANK('WEEK 1 '!T25),ISBLANK('WEEK 1 '!T24),ISBLANK('WEEK 1 '!T23)),"",IF('WEEK 1 '!T25&gt;=6,'WEEK 1 '!P20+5,""))</f>
        <v>#REF!</v>
      </c>
      <c r="Q27" s="220" t="str">
        <f>IF(OR(ISBLANK('WEEK 1 '!T25),ISBLANK('WEEK 1 '!T24),ISBLANK('WEEK 1 '!T23)),"",IF('WEEK 1 '!T25&gt;=6,"REP OUT",""))</f>
        <v>#REF!</v>
      </c>
      <c r="R27" s="221" t="str">
        <f>IF(OR(ISBLANK('WEEK 1 '!T25),ISBLANK('WEEK 1 '!T24),ISBLANK('WEEK 1 '!T23)),"",IF('WEEK 1 '!T25&gt;5,"1 MIN",""))</f>
        <v>#REF!</v>
      </c>
      <c r="S27" s="222"/>
      <c r="T27" s="58"/>
      <c r="U27" s="206"/>
      <c r="V27" s="206"/>
      <c r="W27" s="206"/>
      <c r="X27" s="206"/>
      <c r="Y27" s="206"/>
      <c r="Z27" s="206"/>
    </row>
    <row r="28">
      <c r="A28" s="223" t="str">
        <f>IF('WEEK 1 '!F27&lt;1,"","6")</f>
        <v>#REF!</v>
      </c>
      <c r="B28" s="204" t="str">
        <f>IF('WEEK 1 '!F27&lt;1,"",B27+5)</f>
        <v>#REF!</v>
      </c>
      <c r="C28" s="224" t="str">
        <f>IF('WEEK 1 '!F27&lt;1,"","1")</f>
        <v>#REF!</v>
      </c>
      <c r="D28" s="224" t="str">
        <f>IF('WEEK 1 '!F27&lt;1,"","1-5 MIN")</f>
        <v>#REF!</v>
      </c>
      <c r="E28" s="225"/>
      <c r="F28" s="58"/>
      <c r="G28" s="201"/>
      <c r="H28" s="226" t="str">
        <f>IF('WEEK 1 '!M27&lt;1,"","6")</f>
        <v>#REF!</v>
      </c>
      <c r="I28" s="204" t="str">
        <f>IF('WEEK 1 '!M27&lt;1,"",I27+5)</f>
        <v>#REF!</v>
      </c>
      <c r="J28" s="224" t="str">
        <f>IF('WEEK 1 '!M27&lt;1,"","1")</f>
        <v>#REF!</v>
      </c>
      <c r="K28" s="224" t="str">
        <f>IF('WEEK 1 '!M27&lt;1,"","1-5 MIN")</f>
        <v>#REF!</v>
      </c>
      <c r="L28" s="225"/>
      <c r="M28" s="58"/>
      <c r="N28" s="201"/>
      <c r="O28" s="227" t="str">
        <f>IF(OR(ISBLANK('WEEK 1 '!T25),ISBLANK('WEEK 1 '!T24),ISBLANK('WEEK 1 '!T23)),"FILL OUT REP LOG FIRST","DOWN SETS")</f>
        <v>DOWN SETS</v>
      </c>
      <c r="P28" s="7"/>
      <c r="Q28" s="7"/>
      <c r="R28" s="7"/>
      <c r="S28" s="7"/>
      <c r="T28" s="197"/>
      <c r="U28" s="201"/>
      <c r="V28" s="201"/>
      <c r="W28" s="201"/>
      <c r="X28" s="201"/>
      <c r="Y28" s="201"/>
      <c r="Z28" s="201"/>
    </row>
    <row r="29">
      <c r="A29" s="213" t="str">
        <f>IF(OR(ISBLANK('WEEK 1 '!F25),ISBLANK('WEEK 1 '!F24),ISBLANK('WEEK 1 '!F23)),"FILL OUT REP LOG FOR DOWN SETS","DOWN SETS")</f>
        <v>DOWN SETS</v>
      </c>
      <c r="B29" s="11"/>
      <c r="C29" s="11"/>
      <c r="D29" s="11"/>
      <c r="E29" s="11"/>
      <c r="F29" s="86"/>
      <c r="G29" s="206"/>
      <c r="H29" s="213" t="str">
        <f>IF(OR(ISBLANK('WEEK 1 '!M25),ISBLANK('WEEK 1 '!M24),ISBLANK('WEEK 1 '!M23)),"FILL OUT REP LOG FOR DOWN SETS","DOWN SETS")</f>
        <v>DOWN SETS</v>
      </c>
      <c r="I29" s="11"/>
      <c r="J29" s="11"/>
      <c r="K29" s="11"/>
      <c r="L29" s="11"/>
      <c r="M29" s="86"/>
      <c r="N29" s="206"/>
      <c r="O29" s="82" t="str">
        <f>IF('WEEK 1 '!T27&gt;=4,"",IF(OR(ISBLANK('WEEK 1 '!T25),ISBLANK('WEEK 1 '!T24),ISBLANK('WEEK 1 '!T23)),"",IF('WEEK 1 '!T25&gt;5,6,5)))</f>
        <v>#REF!</v>
      </c>
      <c r="P29" s="228" t="str">
        <f>IF('WEEK 1 '!T27&gt;=4,"",IF(OR(ISBLANK('WEEK 1 '!T25),ISBLANK('WEEK 1 '!T24),ISBLANK('WEEK 1 '!T23)),"",IF('WEEK 1 '!T25&lt;6,mround('WEEK 1 '!P20*0.8,5),IF('WEEK 1 '!T25&lt;10,mround('WEEK 1 '!P20*0.93,5),mround('WEEK 1 '!P20*0.7,5)))))</f>
        <v>#REF!</v>
      </c>
      <c r="Q29" s="229" t="str">
        <f>IF('WEEK 1 '!T27&gt;=4,"",IF(OR(ISBLANK('WEEK 1 '!T25),ISBLANK('WEEK 1 '!T24),ISBLANK('WEEK 1 '!T23)),"","REP OUT"))</f>
        <v>#REF!</v>
      </c>
      <c r="R29" s="56" t="str">
        <f>IF('WEEK 1 '!T27&gt;=4,"",IF(OR(ISBLANK('WEEK 1 '!T25),ISBLANK('WEEK 1 '!T24),ISBLANK('WEEK 1 '!T23)),"","1 MIN"))</f>
        <v>#REF!</v>
      </c>
      <c r="S29" s="222"/>
      <c r="T29" s="230"/>
      <c r="U29" s="206"/>
      <c r="V29" s="206">
        <f>0.7*85</f>
        <v>59.5</v>
      </c>
      <c r="W29" s="206"/>
      <c r="X29" s="206"/>
      <c r="Y29" s="206"/>
      <c r="Z29" s="206"/>
    </row>
    <row r="30">
      <c r="A30" s="231" t="str">
        <f>IF(OR(ISBLANK('WEEK 1 '!F25),ISBLANK('WEEK 1 '!F24),ISBLANK('WEEK 1 '!F23)),"",IF((AND(A27="",A28="")),5,IF((AND(A27&gt;1,A28="")),6,7)))</f>
        <v>#REF!</v>
      </c>
      <c r="B30" s="232" t="str">
        <f>IF(OR(ISBLANK('WEEK 1 '!F25),ISBLANK('WEEK 1 '!F24),ISBLANK('WEEK 1 '!F23)),"",MROUND('WEEK 1 '!B32*0.9,5))</f>
        <v>#REF!</v>
      </c>
      <c r="C30" s="233" t="str">
        <f>IF(OR(ISBLANK('WEEK 1 '!F25),ISBLANK('WEEK 1 '!F24),ISBLANK('WEEK 1 '!F23)),"","REP OUT")</f>
        <v>REP OUT</v>
      </c>
      <c r="D30" s="234" t="str">
        <f>IF(OR(ISBLANK('WEEK 1 '!F25),ISBLANK('WEEK 1 '!F24),ISBLANK('WEEK 1 '!F23)),"","1-3 MIN")</f>
        <v>1-3 MIN</v>
      </c>
      <c r="E30" s="235"/>
      <c r="F30" s="58"/>
      <c r="G30" s="206"/>
      <c r="H30" s="231" t="str">
        <f>IF(OR(ISBLANK('WEEK 1 '!M25),ISBLANK('WEEK 1 '!M24),ISBLANK('WEEK 1 '!M23)),"",IF((AND(H27="",H28="")),5,IF((AND(H27&gt;1,H28="")),6,7)))</f>
        <v>#REF!</v>
      </c>
      <c r="I30" s="232" t="str">
        <f>IF(OR(ISBLANK('WEEK 1 '!M25),ISBLANK('WEEK 1 '!M24),ISBLANK('WEEK 1 '!M23)),"",MROUND('WEEK 1 '!I32*0.9,5))</f>
        <v>#REF!</v>
      </c>
      <c r="J30" s="233" t="str">
        <f>IF(OR(ISBLANK('WEEK 1 '!M25),ISBLANK('WEEK 1 '!M24),ISBLANK('WEEK 1 '!M23)),"","REP OUT")</f>
        <v>REP OUT</v>
      </c>
      <c r="K30" s="234" t="str">
        <f>IF(OR(ISBLANK('WEEK 1 '!M25),ISBLANK('WEEK 1 '!M24),ISBLANK('WEEK 1 '!M23)),"","1-3 MIN")</f>
        <v>1-3 MIN</v>
      </c>
      <c r="L30" s="235"/>
      <c r="M30" s="58"/>
      <c r="N30" s="206"/>
      <c r="O30" s="236" t="str">
        <f>IF('WEEK 1 '!T27&gt;=4,"",IF(OR(ISBLANK('WEEK 1 '!T25),ISBLANK('WEEK 1 '!T24),ISBLANK('WEEK 1 '!T23)),"",IF('WEEK 1 '!T25&gt;5,7,6)))</f>
        <v>#REF!</v>
      </c>
      <c r="P30" s="221" t="str">
        <f>IF('WEEK 1 '!T27&gt;=4,"",IF(OR(ISBLANK('WEEK 1 '!T25),ISBLANK('WEEK 1 '!T24),ISBLANK('WEEK 1 '!T23)),"",IF('WEEK 1 '!T25&lt;6,mround('WEEK 1 '!P20*0.65,5),IF('WEEK 1 '!T25&lt;10,mround('WEEK 1 '!P20*0.7,5),mround('WEEK 1 '!P20*0.65,5)))))</f>
        <v>#REF!</v>
      </c>
      <c r="Q30" s="220" t="str">
        <f>IF('WEEK 1 '!T27&gt;=4,"",IF(OR(ISBLANK('WEEK 1 '!T25),ISBLANK('WEEK 1 '!T24),ISBLANK('WEEK 1 '!T23)),"","REP OUT"))</f>
        <v>#REF!</v>
      </c>
      <c r="R30" s="56" t="str">
        <f>IF('WEEK 1 '!T27&gt;=4,"",IF(OR(ISBLANK('WEEK 1 '!T25),ISBLANK('WEEK 1 '!T24),ISBLANK('WEEK 1 '!T23)),"","1 MIN"))</f>
        <v>#REF!</v>
      </c>
      <c r="S30" s="222"/>
      <c r="T30" s="237"/>
      <c r="U30" s="206"/>
      <c r="V30" s="206"/>
      <c r="W30" s="206"/>
      <c r="X30" s="206"/>
      <c r="Y30" s="206"/>
      <c r="Z30" s="206"/>
    </row>
    <row r="31">
      <c r="A31" s="210" t="str">
        <f>IF(OR(ISBLANK('WEEK 1 '!F25),ISBLANK('WEEK 1 '!F24),ISBLANK('WEEK 1 '!F23)),"",IF((AND(A27="",A28="")),6,IF((AND(A27&gt;1,A28="")),7,8)))</f>
        <v>#REF!</v>
      </c>
      <c r="B31" s="204" t="str">
        <f>IF(OR(ISBLANK('WEEK 1 '!F25),ISBLANK('WEEK 1 '!F24),ISBLANK('WEEK 1 '!F23)),"",mround('WEEK 1 '!B32*0.78,5))</f>
        <v>#REF!</v>
      </c>
      <c r="C31" s="212" t="str">
        <f>IF(OR(ISBLANK('WEEK 1 '!F25),ISBLANK('WEEK 1 '!F24),ISBLANK('WEEK 1 '!F23)),"","REP OUT")</f>
        <v>REP OUT</v>
      </c>
      <c r="D31" s="56" t="str">
        <f>IF(OR(ISBLANK('WEEK 1 '!F25),ISBLANK('WEEK 1 '!F24),ISBLANK('WEEK 1 '!F23)),"","1-3 MIN")</f>
        <v>1-3 MIN</v>
      </c>
      <c r="E31" s="225"/>
      <c r="F31" s="238"/>
      <c r="G31" s="94"/>
      <c r="H31" s="210" t="str">
        <f>IF(OR(ISBLANK('WEEK 1 '!M25),ISBLANK('WEEK 1 '!M24),ISBLANK('WEEK 1 '!M23)),"",IF((AND(H27="",H28="")),6,IF((AND(H27&gt;1,H28="")),7,8)))</f>
        <v>#REF!</v>
      </c>
      <c r="I31" s="204" t="str">
        <f>IF(OR(ISBLANK('WEEK 1 '!M25),ISBLANK('WEEK 1 '!M24),ISBLANK('WEEK 1 '!M23)),"",mround('WEEK 1 '!I32*0.78,5))</f>
        <v>#REF!</v>
      </c>
      <c r="J31" s="212" t="str">
        <f>IF(OR(ISBLANK('WEEK 1 '!M25),ISBLANK('WEEK 1 '!M24),ISBLANK('WEEK 1 '!M23)),"","REP OUT")</f>
        <v>REP OUT</v>
      </c>
      <c r="K31" s="56" t="str">
        <f>IF(OR(ISBLANK('WEEK 1 '!M25),ISBLANK('WEEK 1 '!M24),ISBLANK('WEEK 1 '!M23)),"","1-3 MIN")</f>
        <v>1-3 MIN</v>
      </c>
      <c r="L31" s="225"/>
      <c r="M31" s="238"/>
      <c r="N31" s="94"/>
      <c r="O31" s="236" t="str">
        <f>IF('WEEK 1 '!T27&lt;4,"",IF(OR(ISBLANK('WEEK 1 '!T25),ISBLANK('WEEK 1 '!T24),ISBLANK('WEEK 1 '!T23)),"",IF('WEEK 1 '!T27&gt;3,6,5)))</f>
        <v>#REF!</v>
      </c>
      <c r="P31" s="221" t="str">
        <f>IF('WEEK 1 '!T27&lt;4,"",IF(OR(ISBLANK('WEEK 1 '!T25),ISBLANK('WEEK 1 '!T24),ISBLANK('WEEK 1 '!T23)),"",IF('WEEK 1 '!T27&lt;6,mround('WEEK 1 '!P33*0.8,5),IF('WEEK 1 '!T27&lt;10,mround('WEEK 1 '!P33*0.93,5),mround('WEEK 1 '!P33*0.7,5)))))</f>
        <v>#REF!</v>
      </c>
      <c r="Q31" s="220" t="str">
        <f>IF('WEEK 1 '!T27&lt;4,"",IF(OR(ISBLANK('WEEK 1 '!T25),ISBLANK('WEEK 1 '!T24),ISBLANK('WEEK 1 '!T23)),"","REP OUT"))</f>
        <v>#REF!</v>
      </c>
      <c r="R31" s="56" t="str">
        <f>IF('WEEK 1 '!T27&lt;4,"",IF(OR(ISBLANK('WEEK 1 '!T25),ISBLANK('WEEK 1 '!T24),ISBLANK('WEEK 1 '!T23)),"","1 MIN"))</f>
        <v>#REF!</v>
      </c>
      <c r="S31" s="222"/>
      <c r="T31" s="237"/>
      <c r="U31" s="94"/>
      <c r="V31" s="94"/>
      <c r="W31" s="94"/>
      <c r="X31" s="94"/>
      <c r="Y31" s="94"/>
      <c r="Z31" s="94"/>
    </row>
    <row r="32">
      <c r="A32" s="239" t="s">
        <v>91</v>
      </c>
      <c r="B32" s="240" t="str">
        <f>IF(OR(ISBLANK('WEEK 1 '!F25),ISBLANK('WEEK 1 '!F24),ISBLANK('WEEK 1 '!F23)),"",IF('WEEK 1 '!F28&gt;=1,'WEEK 1 '!B28,IF('WEEK 1 '!F27&gt;=1,'WEEK 1 '!B27,IF('WEEK 1 '!F25&lt;1,'WEEK 1 '!B25-5,'WEEK 1 '!B25))))</f>
        <v>#REF!</v>
      </c>
      <c r="C32" s="2"/>
      <c r="D32" s="2"/>
      <c r="E32" s="2"/>
      <c r="F32" s="37"/>
      <c r="G32" s="94"/>
      <c r="H32" s="239" t="s">
        <v>91</v>
      </c>
      <c r="I32" s="240" t="str">
        <f>IF(OR(ISBLANK('WEEK 1 '!M25),ISBLANK('WEEK 1 '!M24),ISBLANK('WEEK 1 '!M23)),"",IF('WEEK 1 '!M28&gt;=1,'WEEK 1 '!I28,IF('WEEK 1 '!M27&gt;=1,'WEEK 1 '!I27,IF('WEEK 1 '!M25&lt;1,'WEEK 1 '!I25-5,'WEEK 1 '!I25))))</f>
        <v>#REF!</v>
      </c>
      <c r="J32" s="2"/>
      <c r="K32" s="2"/>
      <c r="L32" s="2"/>
      <c r="M32" s="37"/>
      <c r="N32" s="94"/>
      <c r="O32" s="236" t="str">
        <f>IF('WEEK 1 '!T27&lt;4,"",IF(OR(ISBLANK('WEEK 1 '!T25),ISBLANK('WEEK 1 '!T24),ISBLANK('WEEK 1 '!T23)),"",IF('WEEK 1 '!T27&gt;3,7,"")))</f>
        <v>#REF!</v>
      </c>
      <c r="P32" s="221" t="str">
        <f>IF('WEEK 1 '!T27&lt;4,"",IF(OR(ISBLANK('WEEK 1 '!T25),ISBLANK('WEEK 1 '!T24),ISBLANK('WEEK 1 '!T23)),"",IF('WEEK 1 '!T27&lt;6,mround('WEEK 1 '!P33*0.65,5),IF('WEEK 1 '!T27&lt;10,mround('WEEK 1 '!P33*0.7,5),mround('WEEK 1 '!P33*0.65,5)))))</f>
        <v>#REF!</v>
      </c>
      <c r="Q32" s="220" t="str">
        <f>IF('WEEK 1 '!T27&lt;4,"",IF(OR(ISBLANK('WEEK 1 '!T25),ISBLANK('WEEK 1 '!T24),ISBLANK('WEEK 1 '!T23)),"","REP OUT"))</f>
        <v>#REF!</v>
      </c>
      <c r="R32" s="56" t="str">
        <f>IF('WEEK 1 '!T27&lt;4,"",IF(OR(ISBLANK('WEEK 1 '!T25),ISBLANK('WEEK 1 '!T24),ISBLANK('WEEK 1 '!T23)),"","1 MIN"))</f>
        <v>#REF!</v>
      </c>
      <c r="S32" s="222"/>
      <c r="T32" s="237"/>
      <c r="U32" s="94"/>
      <c r="V32" s="94"/>
      <c r="W32" s="94"/>
      <c r="X32" s="94"/>
      <c r="Y32" s="94"/>
      <c r="Z32" s="94"/>
    </row>
    <row r="33">
      <c r="A33" s="241"/>
      <c r="B33" s="242"/>
      <c r="C33" s="243"/>
      <c r="D33" s="244"/>
      <c r="E33" s="245"/>
      <c r="F33" s="94"/>
      <c r="G33" s="94"/>
      <c r="H33" s="187"/>
      <c r="I33" s="187"/>
      <c r="J33" s="187"/>
      <c r="K33" s="187"/>
      <c r="L33" s="246"/>
      <c r="M33" s="94"/>
      <c r="N33" s="94"/>
      <c r="O33" s="247" t="s">
        <v>91</v>
      </c>
      <c r="P33" s="240" t="str">
        <f>IF(OR(ISBLANK('WEEK 1 '!T23),ISBLANK('WEEK 1 '!T24),ISBLANK('WEEK 1 '!T25)),"",IF('WEEK 1 '!T27&gt;=4,'WEEK 1 '!P27,IF('WEEK 1 '!T25&lt;=3,'WEEK 1 '!P25-5,'WEEK 1 '!P25)))</f>
        <v>#REF!</v>
      </c>
      <c r="Q33" s="2"/>
      <c r="R33" s="2"/>
      <c r="S33" s="2"/>
      <c r="T33" s="37"/>
      <c r="U33" s="94"/>
      <c r="V33" s="94"/>
      <c r="W33" s="94"/>
      <c r="X33" s="94"/>
      <c r="Y33" s="94"/>
      <c r="Z33" s="94"/>
    </row>
    <row r="34">
      <c r="A34" s="64" t="str">
        <f>IF(B35&lt;5,"SKIP TO NEXT WORKOUT",HYPERLINK("https://www.youtube.com/watch?v=mGv8D2DGyNQ","2.DB CHEST FLY"))</f>
        <v>2.DB CHEST FLY</v>
      </c>
      <c r="B34" s="44"/>
      <c r="C34" s="44"/>
      <c r="D34" s="44"/>
      <c r="E34" s="44"/>
      <c r="F34" s="45"/>
      <c r="G34" s="248"/>
      <c r="H34" s="64" t="str">
        <f>HYPERLINK("https://www.youtube.com/watch?v=THb0dhfIu1k","2. MACHINE CHEST FLY")</f>
        <v>2. MACHINE CHEST FLY</v>
      </c>
      <c r="I34" s="44"/>
      <c r="J34" s="44"/>
      <c r="K34" s="44"/>
      <c r="L34" s="44"/>
      <c r="M34" s="45"/>
      <c r="N34" s="248"/>
      <c r="O34" s="94"/>
      <c r="P34" s="94"/>
      <c r="Q34" s="94"/>
      <c r="R34" s="94"/>
      <c r="S34" s="94"/>
      <c r="T34" s="94"/>
      <c r="U34" s="94"/>
      <c r="V34" s="94"/>
      <c r="W34" s="94"/>
      <c r="X34" s="94"/>
      <c r="Y34" s="94"/>
      <c r="Z34" s="94"/>
    </row>
    <row r="35">
      <c r="A35" s="249" t="s">
        <v>92</v>
      </c>
      <c r="B35" s="250">
        <v>30.0</v>
      </c>
      <c r="F35" s="19"/>
      <c r="G35" s="214" t="s">
        <v>90</v>
      </c>
      <c r="H35" s="249" t="s">
        <v>92</v>
      </c>
      <c r="I35" s="251" t="str">
        <f>'WEEK 1 '!B35</f>
        <v>#REF!</v>
      </c>
      <c r="J35" s="11"/>
      <c r="K35" s="11"/>
      <c r="L35" s="11"/>
      <c r="M35" s="86"/>
      <c r="N35" s="94"/>
      <c r="O35" s="94"/>
      <c r="P35" s="94"/>
      <c r="Q35" s="94"/>
      <c r="R35" s="94"/>
      <c r="S35" s="94"/>
      <c r="T35" s="94"/>
      <c r="U35" s="94"/>
      <c r="V35" s="94"/>
      <c r="W35" s="94"/>
      <c r="X35" s="94"/>
      <c r="Y35" s="94"/>
      <c r="Z35" s="94"/>
    </row>
    <row r="36">
      <c r="A36" s="198" t="s">
        <v>18</v>
      </c>
      <c r="B36" s="199" t="s">
        <v>19</v>
      </c>
      <c r="C36" s="199" t="s">
        <v>20</v>
      </c>
      <c r="D36" s="199" t="s">
        <v>21</v>
      </c>
      <c r="E36" s="252" t="s">
        <v>22</v>
      </c>
      <c r="F36" s="253" t="s">
        <v>23</v>
      </c>
      <c r="H36" s="198" t="s">
        <v>18</v>
      </c>
      <c r="I36" s="199" t="s">
        <v>19</v>
      </c>
      <c r="J36" s="199" t="s">
        <v>20</v>
      </c>
      <c r="K36" s="199" t="s">
        <v>21</v>
      </c>
      <c r="L36" s="252" t="s">
        <v>22</v>
      </c>
      <c r="M36" s="52" t="s">
        <v>23</v>
      </c>
      <c r="N36" s="254"/>
      <c r="O36" s="254"/>
      <c r="P36" s="254"/>
      <c r="Q36" s="254"/>
      <c r="R36" s="254"/>
      <c r="S36" s="254"/>
      <c r="T36" s="254"/>
      <c r="U36" s="254"/>
      <c r="V36" s="254"/>
      <c r="W36" s="254"/>
      <c r="X36" s="254"/>
      <c r="Y36" s="254"/>
      <c r="Z36" s="254"/>
    </row>
    <row r="37">
      <c r="A37" s="209">
        <v>1.0</v>
      </c>
      <c r="B37" s="73">
        <f>mround(B35*0.29,2.5)</f>
        <v>7.5</v>
      </c>
      <c r="C37" s="73">
        <v>15.0</v>
      </c>
      <c r="D37" s="255" t="s">
        <v>93</v>
      </c>
      <c r="E37" s="57"/>
      <c r="F37" s="58"/>
      <c r="G37" s="201"/>
      <c r="H37" s="209">
        <v>1.0</v>
      </c>
      <c r="I37" s="204" t="str">
        <f>mround('WEEK 1 '!I35*2*0.75,10)</f>
        <v>#REF!</v>
      </c>
      <c r="J37" s="73">
        <v>15.0</v>
      </c>
      <c r="K37" s="255" t="s">
        <v>93</v>
      </c>
      <c r="L37" s="57"/>
      <c r="M37" s="58"/>
      <c r="N37" s="201"/>
      <c r="O37" s="201"/>
      <c r="P37" s="201"/>
      <c r="Q37" s="201"/>
      <c r="R37" s="201"/>
      <c r="S37" s="201"/>
      <c r="T37" s="201"/>
      <c r="U37" s="201"/>
      <c r="V37" s="201"/>
      <c r="W37" s="201"/>
      <c r="X37" s="201"/>
      <c r="Y37" s="201"/>
      <c r="Z37" s="201"/>
    </row>
    <row r="38">
      <c r="A38" s="256">
        <v>2.0</v>
      </c>
      <c r="B38" s="78">
        <f>mround(B35*0.29,2.5)</f>
        <v>7.5</v>
      </c>
      <c r="C38" s="78">
        <v>15.0</v>
      </c>
      <c r="D38" s="257" t="s">
        <v>93</v>
      </c>
      <c r="E38" s="63"/>
      <c r="F38" s="58"/>
      <c r="G38" s="201"/>
      <c r="H38" s="256">
        <v>2.0</v>
      </c>
      <c r="I38" s="258" t="str">
        <f>mround('WEEK 1 '!I35*2*0.75,10)</f>
        <v>#REF!</v>
      </c>
      <c r="J38" s="78">
        <v>15.0</v>
      </c>
      <c r="K38" s="257" t="s">
        <v>93</v>
      </c>
      <c r="L38" s="63"/>
      <c r="M38" s="58"/>
      <c r="N38" s="201"/>
      <c r="O38" s="201"/>
      <c r="P38" s="201"/>
      <c r="Q38" s="201"/>
      <c r="R38" s="201"/>
      <c r="S38" s="201"/>
      <c r="T38" s="201"/>
      <c r="U38" s="201"/>
      <c r="V38" s="201"/>
      <c r="W38" s="201"/>
      <c r="X38" s="201"/>
      <c r="Y38" s="201"/>
      <c r="Z38" s="201"/>
    </row>
    <row r="39">
      <c r="A39" s="94"/>
      <c r="B39" s="94"/>
      <c r="C39" s="94"/>
      <c r="D39" s="94"/>
      <c r="E39" s="189"/>
      <c r="F39" s="94"/>
      <c r="G39" s="94"/>
      <c r="H39" s="94"/>
      <c r="I39" s="94"/>
      <c r="J39" s="94"/>
      <c r="K39" s="94"/>
      <c r="L39" s="189"/>
      <c r="M39" s="94"/>
      <c r="N39" s="94"/>
      <c r="O39" s="94"/>
      <c r="P39" s="94"/>
      <c r="Q39" s="94"/>
      <c r="R39" s="94"/>
      <c r="S39" s="94"/>
      <c r="T39" s="94"/>
      <c r="U39" s="94"/>
      <c r="V39" s="94"/>
      <c r="W39" s="94"/>
      <c r="X39" s="94"/>
      <c r="Y39" s="94"/>
      <c r="Z39" s="94"/>
    </row>
    <row r="40">
      <c r="A40" s="94"/>
      <c r="B40" s="94"/>
      <c r="C40" s="94"/>
      <c r="D40" s="94"/>
      <c r="E40" s="245"/>
      <c r="F40" s="94"/>
      <c r="G40" s="94"/>
      <c r="H40" s="94"/>
      <c r="I40" s="94"/>
      <c r="J40" s="94"/>
      <c r="K40" s="94"/>
      <c r="L40" s="189"/>
      <c r="M40" s="94"/>
      <c r="N40" s="94"/>
      <c r="O40" s="94"/>
      <c r="P40" s="94"/>
      <c r="Q40" s="94"/>
      <c r="R40" s="94"/>
      <c r="S40" s="94"/>
      <c r="T40" s="94"/>
      <c r="U40" s="94"/>
      <c r="V40" s="94"/>
      <c r="W40" s="94"/>
      <c r="X40" s="94"/>
      <c r="Y40" s="94"/>
      <c r="Z40" s="94"/>
    </row>
    <row r="41">
      <c r="A41" s="64" t="str">
        <f>HYPERLINK("https://www.youtube.com/watch?v=PnaDzYh2axA","3. LAT PULL DOWN")</f>
        <v>3. LAT PULL DOWN</v>
      </c>
      <c r="B41" s="44"/>
      <c r="C41" s="44"/>
      <c r="D41" s="44"/>
      <c r="E41" s="44"/>
      <c r="F41" s="45"/>
      <c r="G41" s="243"/>
      <c r="H41" s="94"/>
      <c r="I41" s="259"/>
      <c r="J41" s="259"/>
      <c r="K41" s="259"/>
      <c r="L41" s="260"/>
      <c r="M41" s="94"/>
      <c r="N41" s="94"/>
      <c r="O41" s="94"/>
      <c r="P41" s="94"/>
      <c r="Q41" s="94"/>
      <c r="R41" s="94"/>
      <c r="S41" s="94"/>
      <c r="T41" s="94"/>
      <c r="U41" s="94"/>
      <c r="V41" s="94"/>
      <c r="W41" s="94"/>
      <c r="X41" s="94"/>
      <c r="Y41" s="94"/>
      <c r="Z41" s="94"/>
    </row>
    <row r="42">
      <c r="A42" s="193" t="s">
        <v>86</v>
      </c>
      <c r="B42" s="194">
        <v>100.0</v>
      </c>
      <c r="C42" s="11"/>
      <c r="D42" s="11"/>
      <c r="E42" s="11"/>
      <c r="F42" s="86"/>
      <c r="G42" s="94"/>
      <c r="H42" s="94"/>
      <c r="I42" s="259"/>
      <c r="J42" s="259"/>
      <c r="K42" s="259"/>
      <c r="L42" s="260"/>
      <c r="M42" s="94"/>
      <c r="N42" s="94"/>
      <c r="O42" s="94"/>
      <c r="P42" s="94"/>
      <c r="Q42" s="94"/>
      <c r="R42" s="94"/>
      <c r="S42" s="94"/>
      <c r="T42" s="94"/>
      <c r="U42" s="94"/>
      <c r="V42" s="94"/>
      <c r="W42" s="94"/>
      <c r="X42" s="94"/>
      <c r="Y42" s="94"/>
      <c r="Z42" s="94"/>
    </row>
    <row r="43">
      <c r="A43" s="198" t="s">
        <v>18</v>
      </c>
      <c r="B43" s="199" t="s">
        <v>19</v>
      </c>
      <c r="C43" s="199" t="s">
        <v>20</v>
      </c>
      <c r="D43" s="199" t="s">
        <v>21</v>
      </c>
      <c r="E43" s="200" t="s">
        <v>22</v>
      </c>
      <c r="F43" s="52" t="s">
        <v>23</v>
      </c>
      <c r="G43" s="201"/>
      <c r="H43" s="201"/>
      <c r="I43" s="261"/>
      <c r="J43" s="261"/>
      <c r="K43" s="261"/>
      <c r="L43" s="262"/>
      <c r="M43" s="201"/>
      <c r="N43" s="201"/>
      <c r="O43" s="201"/>
      <c r="P43" s="201"/>
      <c r="Q43" s="201"/>
      <c r="R43" s="201"/>
      <c r="S43" s="201"/>
      <c r="T43" s="201"/>
      <c r="U43" s="201"/>
      <c r="V43" s="201"/>
      <c r="W43" s="201"/>
      <c r="X43" s="201"/>
      <c r="Y43" s="201"/>
      <c r="Z43" s="201"/>
    </row>
    <row r="44">
      <c r="A44" s="203">
        <v>1.0</v>
      </c>
      <c r="B44" s="204" t="str">
        <f>mround('WEEK 1 '!B42*0.35,5)</f>
        <v>#REF!</v>
      </c>
      <c r="C44" s="204">
        <v>6.0</v>
      </c>
      <c r="D44" s="205" t="s">
        <v>87</v>
      </c>
      <c r="E44" s="57"/>
      <c r="F44" s="58"/>
      <c r="G44" s="254"/>
      <c r="H44" s="254"/>
      <c r="I44" s="263"/>
      <c r="J44" s="263"/>
      <c r="K44" s="263"/>
      <c r="L44" s="264"/>
      <c r="M44" s="254"/>
      <c r="N44" s="254"/>
      <c r="O44" s="254"/>
      <c r="P44" s="254"/>
      <c r="Q44" s="254"/>
      <c r="R44" s="254"/>
      <c r="S44" s="254"/>
      <c r="T44" s="254"/>
      <c r="U44" s="254"/>
      <c r="V44" s="254"/>
      <c r="W44" s="254"/>
      <c r="X44" s="254"/>
      <c r="Y44" s="254"/>
      <c r="Z44" s="254"/>
    </row>
    <row r="45">
      <c r="A45" s="203">
        <v>2.0</v>
      </c>
      <c r="B45" s="204" t="str">
        <f>mround('WEEK 1 '!B42*0.65,5)</f>
        <v>#REF!</v>
      </c>
      <c r="C45" s="205">
        <v>3.0</v>
      </c>
      <c r="D45" s="205" t="s">
        <v>88</v>
      </c>
      <c r="E45" s="57"/>
      <c r="F45" s="58"/>
      <c r="G45" s="254"/>
      <c r="H45" s="254"/>
      <c r="I45" s="263"/>
      <c r="J45" s="263"/>
      <c r="K45" s="263"/>
      <c r="L45" s="264"/>
      <c r="M45" s="254"/>
      <c r="N45" s="254"/>
      <c r="O45" s="254"/>
      <c r="P45" s="254"/>
      <c r="Q45" s="254"/>
      <c r="R45" s="254"/>
      <c r="S45" s="254"/>
      <c r="T45" s="254"/>
      <c r="U45" s="254"/>
      <c r="V45" s="254"/>
      <c r="W45" s="254"/>
      <c r="X45" s="254"/>
      <c r="Y45" s="254"/>
      <c r="Z45" s="254"/>
    </row>
    <row r="46">
      <c r="A46" s="209">
        <v>3.0</v>
      </c>
      <c r="B46" s="204" t="str">
        <f>mround('WEEK 1 '!B42*0.9,5)</f>
        <v>#REF!</v>
      </c>
      <c r="C46" s="54">
        <v>2.0</v>
      </c>
      <c r="D46" s="205" t="s">
        <v>88</v>
      </c>
      <c r="E46" s="57"/>
      <c r="F46" s="58"/>
      <c r="G46" s="254"/>
      <c r="H46" s="254"/>
      <c r="I46" s="263"/>
      <c r="J46" s="263"/>
      <c r="K46" s="263"/>
      <c r="L46" s="264"/>
      <c r="M46" s="254"/>
      <c r="N46" s="254"/>
      <c r="O46" s="254"/>
      <c r="P46" s="254"/>
      <c r="Q46" s="254"/>
      <c r="R46" s="254"/>
      <c r="S46" s="254"/>
      <c r="T46" s="254"/>
      <c r="U46" s="254"/>
      <c r="V46" s="254"/>
      <c r="W46" s="254"/>
      <c r="X46" s="254"/>
      <c r="Y46" s="254"/>
      <c r="Z46" s="254"/>
    </row>
    <row r="47">
      <c r="A47" s="210">
        <v>4.0</v>
      </c>
      <c r="B47" s="204" t="str">
        <f>'WEEK 1 '!B42</f>
        <v>#REF!</v>
      </c>
      <c r="C47" s="224">
        <v>3.0</v>
      </c>
      <c r="D47" s="205" t="s">
        <v>89</v>
      </c>
      <c r="E47" s="57"/>
      <c r="F47" s="58"/>
      <c r="G47" s="94"/>
      <c r="H47" s="94"/>
      <c r="I47" s="94"/>
      <c r="J47" s="94"/>
      <c r="K47" s="94"/>
      <c r="L47" s="189"/>
      <c r="M47" s="94"/>
      <c r="N47" s="94"/>
      <c r="O47" s="94"/>
      <c r="P47" s="94"/>
      <c r="Q47" s="94"/>
      <c r="R47" s="94"/>
      <c r="S47" s="94"/>
      <c r="T47" s="94"/>
      <c r="U47" s="94"/>
      <c r="V47" s="94"/>
      <c r="W47" s="94"/>
      <c r="X47" s="94"/>
      <c r="Y47" s="94"/>
      <c r="Z47" s="94"/>
    </row>
    <row r="48">
      <c r="A48" s="213" t="str">
        <f>IF('WEEK 1 '!F47&lt;3,"PROCEED TO DOWN SETS","NEW 4 REP MAX ATTEMPT")</f>
        <v>#REF!</v>
      </c>
      <c r="B48" s="11"/>
      <c r="C48" s="11"/>
      <c r="D48" s="11"/>
      <c r="E48" s="11"/>
      <c r="F48" s="86"/>
      <c r="G48" s="201"/>
      <c r="H48" s="265"/>
      <c r="I48" s="265"/>
      <c r="J48" s="201"/>
      <c r="K48" s="201"/>
      <c r="L48" s="266"/>
      <c r="M48" s="201"/>
      <c r="N48" s="201"/>
      <c r="O48" s="201"/>
      <c r="P48" s="201"/>
      <c r="Q48" s="201"/>
      <c r="R48" s="201"/>
      <c r="S48" s="201"/>
      <c r="T48" s="201"/>
      <c r="U48" s="201"/>
      <c r="V48" s="201"/>
      <c r="W48" s="201"/>
      <c r="X48" s="201"/>
      <c r="Y48" s="201"/>
      <c r="Z48" s="201"/>
    </row>
    <row r="49">
      <c r="A49" s="216" t="str">
        <f>if('WEEK 1 '!F47&lt;=2,"",5)</f>
        <v>#REF!</v>
      </c>
      <c r="B49" s="142" t="str">
        <f>IF('WEEK 1 '!F47&lt;=2,"",B47+5)</f>
        <v>#REF!</v>
      </c>
      <c r="C49" s="205" t="str">
        <f>if('WEEK 1 '!F47&lt;=2,"",4)</f>
        <v>#REF!</v>
      </c>
      <c r="D49" s="205" t="str">
        <f>if('WEEK 1 '!F47&lt;=2,"","1-5 MIN")</f>
        <v>#REF!</v>
      </c>
      <c r="E49" s="217"/>
      <c r="F49" s="58"/>
      <c r="G49" s="201"/>
      <c r="H49" s="201"/>
      <c r="I49" s="265"/>
      <c r="J49" s="201"/>
      <c r="K49" s="201"/>
      <c r="L49" s="266"/>
      <c r="M49" s="201"/>
      <c r="N49" s="201"/>
      <c r="O49" s="201"/>
      <c r="P49" s="201"/>
      <c r="Q49" s="201"/>
      <c r="R49" s="201"/>
      <c r="S49" s="201"/>
      <c r="T49" s="201"/>
      <c r="U49" s="201"/>
      <c r="V49" s="201"/>
      <c r="W49" s="201"/>
      <c r="X49" s="201"/>
      <c r="Y49" s="201"/>
      <c r="Z49" s="201"/>
    </row>
    <row r="50">
      <c r="A50" s="223" t="str">
        <f>IF('WEEK 1 '!F49&lt;4,"","6")</f>
        <v>#REF!</v>
      </c>
      <c r="B50" s="204" t="str">
        <f>IF('WEEK 1 '!F49&lt;4,"",B49+5)</f>
        <v>#REF!</v>
      </c>
      <c r="C50" s="224" t="str">
        <f>IF('WEEK 1 '!F49&lt;4,"","4")</f>
        <v>#REF!</v>
      </c>
      <c r="D50" s="224" t="str">
        <f>IF('WEEK 1 '!F49&lt;4,"","1-5 MIN")</f>
        <v>#REF!</v>
      </c>
      <c r="E50" s="225"/>
      <c r="F50" s="58"/>
      <c r="G50" s="267"/>
      <c r="H50" s="267"/>
      <c r="I50" s="267"/>
      <c r="J50" s="267"/>
      <c r="K50" s="267"/>
      <c r="L50" s="268"/>
      <c r="M50" s="267"/>
      <c r="N50" s="267"/>
      <c r="O50" s="267"/>
      <c r="P50" s="267"/>
      <c r="Q50" s="267"/>
      <c r="R50" s="267"/>
      <c r="S50" s="267"/>
      <c r="T50" s="267"/>
      <c r="U50" s="267"/>
      <c r="V50" s="267"/>
      <c r="W50" s="267"/>
      <c r="X50" s="267"/>
      <c r="Y50" s="267"/>
      <c r="Z50" s="267"/>
    </row>
    <row r="51">
      <c r="A51" s="213" t="str">
        <f>IF(OR(ISBLANK('WEEK 1 '!F47),ISBLANK('WEEK 1 '!F46),ISBLANK('WEEK 1 '!F45)),"FILL OUT REP LOG FOR DOWN SETS","DOWN SETS")</f>
        <v>DOWN SETS</v>
      </c>
      <c r="B51" s="11"/>
      <c r="C51" s="11"/>
      <c r="D51" s="11"/>
      <c r="E51" s="11"/>
      <c r="F51" s="86"/>
      <c r="G51" s="267"/>
      <c r="H51" s="267"/>
      <c r="I51" s="267"/>
      <c r="J51" s="267"/>
      <c r="K51" s="267"/>
      <c r="L51" s="268"/>
      <c r="M51" s="267"/>
      <c r="N51" s="267"/>
      <c r="O51" s="267"/>
      <c r="P51" s="267"/>
      <c r="Q51" s="267"/>
      <c r="R51" s="267"/>
      <c r="S51" s="267"/>
      <c r="T51" s="267"/>
      <c r="U51" s="267"/>
      <c r="V51" s="267"/>
      <c r="W51" s="267"/>
      <c r="X51" s="267"/>
      <c r="Y51" s="267"/>
      <c r="Z51" s="267"/>
    </row>
    <row r="52">
      <c r="A52" s="231" t="str">
        <f>IF(OR(ISBLANK('WEEK 1 '!F47),ISBLANK('WEEK 1 '!F46),ISBLANK('WEEK 1 '!F45)),"",IF((AND(A49="",A50="")),5,IF((AND(A49&gt;1,A50="")),6,7)))</f>
        <v>#REF!</v>
      </c>
      <c r="B52" s="232" t="str">
        <f>MROUND('WEEK 1 '!B54*0.8,5)</f>
        <v>#REF!</v>
      </c>
      <c r="C52" s="233" t="s">
        <v>33</v>
      </c>
      <c r="D52" s="234" t="s">
        <v>94</v>
      </c>
      <c r="E52" s="235"/>
      <c r="F52" s="58"/>
      <c r="G52" s="267"/>
      <c r="H52" s="267"/>
      <c r="I52" s="267"/>
      <c r="J52" s="267"/>
      <c r="K52" s="267"/>
      <c r="L52" s="268"/>
      <c r="M52" s="267"/>
      <c r="N52" s="267"/>
      <c r="O52" s="267"/>
      <c r="P52" s="267"/>
      <c r="Q52" s="267"/>
      <c r="R52" s="267"/>
      <c r="S52" s="267"/>
      <c r="T52" s="267"/>
      <c r="U52" s="267"/>
      <c r="V52" s="267"/>
      <c r="W52" s="267"/>
      <c r="X52" s="267"/>
      <c r="Y52" s="267"/>
      <c r="Z52" s="267"/>
    </row>
    <row r="53">
      <c r="A53" s="210" t="str">
        <f>IF(OR(ISBLANK('WEEK 1 '!F47),ISBLANK('WEEK 1 '!F46),ISBLANK('WEEK 1 '!F45)),"",IF((AND(A49="",A50="")),6,IF((AND(A49&gt;1,A50="")),7,8)))</f>
        <v>#REF!</v>
      </c>
      <c r="B53" s="204" t="str">
        <f>mround('WEEK 1 '!B54*0.7,5)</f>
        <v>#REF!</v>
      </c>
      <c r="C53" s="212" t="s">
        <v>33</v>
      </c>
      <c r="D53" s="56" t="s">
        <v>94</v>
      </c>
      <c r="E53" s="225"/>
      <c r="F53" s="238"/>
      <c r="G53" s="267"/>
      <c r="H53" s="267"/>
      <c r="I53" s="267"/>
      <c r="J53" s="267"/>
      <c r="K53" s="267"/>
      <c r="L53" s="268"/>
      <c r="M53" s="267"/>
      <c r="N53" s="267"/>
      <c r="O53" s="267"/>
      <c r="P53" s="267"/>
      <c r="Q53" s="267"/>
      <c r="R53" s="267"/>
      <c r="S53" s="267"/>
      <c r="T53" s="267"/>
      <c r="U53" s="267"/>
      <c r="V53" s="267"/>
      <c r="W53" s="267"/>
      <c r="X53" s="267"/>
      <c r="Y53" s="267"/>
      <c r="Z53" s="267"/>
    </row>
    <row r="54">
      <c r="A54" s="239" t="s">
        <v>91</v>
      </c>
      <c r="B54" s="240" t="str">
        <f>IF(OR(ISBLANK('WEEK 1 '!F47),ISBLANK('WEEK 1 '!F46),ISBLANK('WEEK 1 '!F45)),"",IF('WEEK 1 '!F50&gt;=4,'WEEK 1 '!B50,IF('WEEK 1 '!F49&gt;=4,'WEEK 1 '!B49,IF('WEEK 1 '!F47&lt;3,'WEEK 1 '!B47-5,'WEEK 1 '!B47))))</f>
        <v>#REF!</v>
      </c>
      <c r="C54" s="2"/>
      <c r="D54" s="2"/>
      <c r="E54" s="2"/>
      <c r="F54" s="37"/>
      <c r="G54" s="94"/>
      <c r="H54" s="94"/>
      <c r="I54" s="94"/>
      <c r="J54" s="94"/>
      <c r="K54" s="94"/>
      <c r="L54" s="189"/>
      <c r="M54" s="94"/>
      <c r="N54" s="94"/>
      <c r="O54" s="94"/>
      <c r="P54" s="94"/>
      <c r="Q54" s="94"/>
      <c r="R54" s="94"/>
      <c r="S54" s="94"/>
      <c r="T54" s="94"/>
      <c r="U54" s="94"/>
      <c r="V54" s="94"/>
      <c r="W54" s="94"/>
      <c r="X54" s="94"/>
      <c r="Y54" s="94"/>
      <c r="Z54" s="94"/>
    </row>
    <row r="55">
      <c r="A55" s="269"/>
      <c r="B55" s="269"/>
      <c r="C55" s="269"/>
      <c r="D55" s="269"/>
      <c r="E55" s="270"/>
      <c r="F55" s="94"/>
      <c r="G55" s="94"/>
      <c r="H55" s="271"/>
      <c r="I55" s="271"/>
      <c r="J55" s="271"/>
      <c r="K55" s="271"/>
      <c r="L55" s="270"/>
      <c r="M55" s="94"/>
      <c r="N55" s="94"/>
      <c r="O55" s="94"/>
      <c r="P55" s="94"/>
      <c r="Q55" s="94"/>
      <c r="R55" s="94"/>
      <c r="S55" s="94"/>
      <c r="T55" s="94"/>
      <c r="U55" s="94"/>
      <c r="V55" s="94"/>
      <c r="W55" s="94"/>
      <c r="X55" s="94"/>
      <c r="Y55" s="94"/>
      <c r="Z55" s="94"/>
    </row>
    <row r="56">
      <c r="A56" s="269"/>
      <c r="B56" s="269"/>
      <c r="C56" s="269"/>
      <c r="D56" s="269"/>
      <c r="E56" s="270"/>
      <c r="F56" s="94"/>
      <c r="G56" s="94"/>
      <c r="H56" s="271"/>
      <c r="I56" s="271"/>
      <c r="J56" s="271"/>
      <c r="K56" s="271"/>
      <c r="L56" s="270"/>
      <c r="M56" s="94"/>
      <c r="N56" s="94"/>
      <c r="O56" s="94"/>
      <c r="P56" s="94"/>
      <c r="Q56" s="94"/>
      <c r="R56" s="94"/>
      <c r="S56" s="94"/>
      <c r="T56" s="94"/>
      <c r="U56" s="94"/>
      <c r="V56" s="94"/>
      <c r="W56" s="94"/>
      <c r="X56" s="94"/>
      <c r="Y56" s="94"/>
      <c r="Z56" s="94"/>
    </row>
    <row r="57">
      <c r="A57" s="64" t="str">
        <f>HYPERLINK("https://www.youtube.com/watch?v=9YH1YvZbiY0","4. MACHINE LOW ROW")</f>
        <v>4. MACHINE LOW ROW</v>
      </c>
      <c r="B57" s="44"/>
      <c r="C57" s="44"/>
      <c r="D57" s="44"/>
      <c r="E57" s="44"/>
      <c r="F57" s="45"/>
      <c r="G57" s="94"/>
      <c r="H57" s="271" t="s">
        <v>9</v>
      </c>
      <c r="I57" s="271"/>
      <c r="J57" s="271"/>
      <c r="K57" s="271"/>
      <c r="L57" s="272"/>
      <c r="M57" s="94"/>
      <c r="N57" s="94"/>
      <c r="O57" s="94"/>
      <c r="P57" s="94"/>
      <c r="Q57" s="94"/>
      <c r="R57" s="94"/>
      <c r="S57" s="94"/>
      <c r="T57" s="94"/>
      <c r="U57" s="94"/>
      <c r="V57" s="94"/>
      <c r="W57" s="94"/>
      <c r="X57" s="94"/>
      <c r="Y57" s="94"/>
      <c r="Z57" s="94"/>
    </row>
    <row r="58">
      <c r="A58" s="249" t="s">
        <v>86</v>
      </c>
      <c r="B58" s="47">
        <v>100.0</v>
      </c>
      <c r="C58" s="4"/>
      <c r="D58" s="4"/>
      <c r="E58" s="4"/>
      <c r="F58" s="48"/>
      <c r="G58" s="94"/>
      <c r="H58" s="271"/>
      <c r="I58" s="271"/>
      <c r="J58" s="271"/>
      <c r="K58" s="271"/>
      <c r="L58" s="272"/>
      <c r="M58" s="94"/>
      <c r="N58" s="94"/>
      <c r="O58" s="94"/>
      <c r="P58" s="94"/>
      <c r="Q58" s="94"/>
      <c r="R58" s="94"/>
      <c r="S58" s="94"/>
      <c r="T58" s="94"/>
      <c r="U58" s="94"/>
      <c r="V58" s="94"/>
      <c r="W58" s="94"/>
      <c r="X58" s="94"/>
      <c r="Y58" s="94"/>
      <c r="Z58" s="94"/>
    </row>
    <row r="59">
      <c r="A59" s="49" t="s">
        <v>18</v>
      </c>
      <c r="B59" s="50" t="s">
        <v>19</v>
      </c>
      <c r="C59" s="50" t="s">
        <v>20</v>
      </c>
      <c r="D59" s="50" t="s">
        <v>21</v>
      </c>
      <c r="E59" s="51" t="s">
        <v>22</v>
      </c>
      <c r="F59" s="52" t="s">
        <v>23</v>
      </c>
      <c r="G59" s="214" t="s">
        <v>90</v>
      </c>
      <c r="H59" s="273"/>
      <c r="I59" s="273"/>
      <c r="J59" s="273"/>
      <c r="K59" s="273"/>
      <c r="L59" s="274"/>
      <c r="M59" s="201"/>
      <c r="N59" s="201"/>
      <c r="O59" s="201"/>
      <c r="P59" s="201"/>
      <c r="Q59" s="201"/>
      <c r="R59" s="201"/>
      <c r="S59" s="201"/>
      <c r="T59" s="201"/>
      <c r="U59" s="201"/>
      <c r="V59" s="201"/>
      <c r="W59" s="201"/>
      <c r="X59" s="201"/>
      <c r="Y59" s="201"/>
      <c r="Z59" s="201"/>
    </row>
    <row r="60">
      <c r="A60" s="53">
        <v>1.0</v>
      </c>
      <c r="B60" s="54" t="str">
        <f> mround('WEEK 1 '!B58*0.9,5)</f>
        <v>#REF!</v>
      </c>
      <c r="C60" s="95" t="s">
        <v>33</v>
      </c>
      <c r="D60" s="56" t="s">
        <v>25</v>
      </c>
      <c r="E60" s="57"/>
      <c r="F60" s="58"/>
      <c r="H60" s="273"/>
      <c r="I60" s="273"/>
      <c r="J60" s="273"/>
      <c r="K60" s="273"/>
      <c r="L60" s="274"/>
      <c r="M60" s="201"/>
      <c r="N60" s="201"/>
      <c r="O60" s="201"/>
      <c r="P60" s="201"/>
      <c r="Q60" s="201"/>
      <c r="R60" s="201"/>
      <c r="S60" s="201"/>
      <c r="T60" s="201"/>
      <c r="U60" s="201"/>
      <c r="V60" s="201"/>
      <c r="W60" s="201"/>
      <c r="X60" s="201"/>
      <c r="Y60" s="201"/>
      <c r="Z60" s="201"/>
    </row>
    <row r="61">
      <c r="A61" s="53">
        <v>2.0</v>
      </c>
      <c r="B61" s="54" t="str">
        <f>IF('WEEK 1 '!F60&lt;6,MROUND('WEEK 1 '!B58*0.75,5),IF('WEEK 1 '!F60&lt;=11,MROUND('WEEK 1 '!B58*0.85,5),'WEEK 1 '!B60))</f>
        <v>#REF!</v>
      </c>
      <c r="C61" s="95" t="s">
        <v>33</v>
      </c>
      <c r="D61" s="56" t="s">
        <v>25</v>
      </c>
      <c r="E61" s="57"/>
      <c r="F61" s="58"/>
      <c r="G61" s="201"/>
      <c r="H61" s="273"/>
      <c r="I61" s="273"/>
      <c r="J61" s="273"/>
      <c r="K61" s="273"/>
      <c r="L61" s="274"/>
      <c r="M61" s="201"/>
      <c r="N61" s="201"/>
      <c r="O61" s="201"/>
      <c r="P61" s="201"/>
      <c r="Q61" s="201"/>
      <c r="R61" s="201"/>
      <c r="S61" s="201"/>
      <c r="T61" s="201"/>
      <c r="U61" s="201"/>
      <c r="V61" s="201"/>
      <c r="W61" s="201"/>
      <c r="X61" s="201"/>
      <c r="Y61" s="201"/>
      <c r="Z61" s="201"/>
    </row>
    <row r="62">
      <c r="A62" s="59">
        <v>3.0</v>
      </c>
      <c r="B62" s="60" t="str">
        <f>IF('WEEK 1 '!F61&lt;6,MROUND('WEEK 1 '!B61*0.8,5),IF('WEEK 1 '!F61&lt;=11,MROUND('WEEK 1 '!B58*0.85,5),'WEEK 1 '!B61))</f>
        <v>#REF!</v>
      </c>
      <c r="C62" s="96" t="s">
        <v>33</v>
      </c>
      <c r="D62" s="62" t="s">
        <v>25</v>
      </c>
      <c r="E62" s="63"/>
      <c r="F62" s="58"/>
      <c r="G62" s="201"/>
      <c r="H62" s="273"/>
      <c r="I62" s="273"/>
      <c r="J62" s="273"/>
      <c r="K62" s="273"/>
      <c r="L62" s="274"/>
      <c r="M62" s="201"/>
      <c r="N62" s="201"/>
      <c r="O62" s="201"/>
      <c r="P62" s="201"/>
      <c r="Q62" s="201"/>
      <c r="R62" s="201"/>
      <c r="S62" s="201"/>
      <c r="T62" s="201"/>
      <c r="U62" s="201"/>
      <c r="V62" s="201"/>
      <c r="W62" s="201"/>
      <c r="X62" s="201"/>
      <c r="Y62" s="201"/>
      <c r="Z62" s="201"/>
    </row>
    <row r="63">
      <c r="A63" s="94"/>
      <c r="B63" s="94"/>
      <c r="C63" s="94"/>
      <c r="D63" s="94"/>
      <c r="E63" s="189"/>
      <c r="F63" s="94"/>
      <c r="G63" s="94"/>
      <c r="H63" s="94"/>
      <c r="I63" s="94"/>
      <c r="J63" s="94"/>
      <c r="K63" s="94"/>
      <c r="L63" s="189"/>
      <c r="M63" s="94"/>
      <c r="N63" s="94"/>
      <c r="O63" s="94"/>
      <c r="P63" s="94"/>
      <c r="Q63" s="94"/>
      <c r="R63" s="94"/>
      <c r="S63" s="94"/>
      <c r="T63" s="94"/>
      <c r="U63" s="94"/>
      <c r="V63" s="94"/>
      <c r="W63" s="94"/>
      <c r="X63" s="94"/>
      <c r="Y63" s="94"/>
      <c r="Z63" s="94"/>
    </row>
    <row r="64">
      <c r="A64" s="94"/>
      <c r="B64" s="94"/>
      <c r="C64" s="94"/>
      <c r="D64" s="94"/>
      <c r="E64" s="189"/>
      <c r="F64" s="94"/>
      <c r="G64" s="94"/>
      <c r="H64" s="94"/>
      <c r="I64" s="94"/>
      <c r="J64" s="94"/>
      <c r="K64" s="94"/>
      <c r="L64" s="189"/>
      <c r="M64" s="94"/>
      <c r="N64" s="94"/>
      <c r="O64" s="94"/>
      <c r="P64" s="94"/>
      <c r="Q64" s="94"/>
      <c r="R64" s="94"/>
      <c r="S64" s="94"/>
      <c r="T64" s="94"/>
      <c r="U64" s="94"/>
      <c r="V64" s="94"/>
      <c r="W64" s="94"/>
      <c r="X64" s="94"/>
      <c r="Y64" s="94"/>
      <c r="Z64" s="94"/>
    </row>
    <row r="65">
      <c r="A65" s="64" t="str">
        <f>HYPERLINK("https://youtu.be/5-SUS-OVULY","5. MACHINE HIGH ROW")</f>
        <v>5. MACHINE HIGH ROW</v>
      </c>
      <c r="B65" s="44"/>
      <c r="C65" s="44"/>
      <c r="D65" s="44"/>
      <c r="E65" s="44"/>
      <c r="F65" s="45"/>
      <c r="G65" s="94"/>
      <c r="H65" s="94"/>
      <c r="I65" s="94"/>
      <c r="J65" s="94"/>
      <c r="K65" s="94"/>
      <c r="L65" s="189"/>
      <c r="M65" s="94"/>
      <c r="N65" s="94"/>
      <c r="O65" s="94"/>
      <c r="P65" s="94"/>
      <c r="Q65" s="94"/>
      <c r="R65" s="94"/>
      <c r="S65" s="94"/>
      <c r="T65" s="94"/>
      <c r="U65" s="94"/>
      <c r="V65" s="94"/>
      <c r="W65" s="94"/>
      <c r="X65" s="94"/>
      <c r="Y65" s="94"/>
      <c r="Z65" s="94"/>
    </row>
    <row r="66">
      <c r="A66" s="249" t="s">
        <v>86</v>
      </c>
      <c r="B66" s="47">
        <v>100.0</v>
      </c>
      <c r="C66" s="4"/>
      <c r="D66" s="4"/>
      <c r="E66" s="4"/>
      <c r="F66" s="48"/>
      <c r="G66" s="94"/>
      <c r="H66" s="94"/>
      <c r="I66" s="94"/>
      <c r="J66" s="94"/>
      <c r="K66" s="94"/>
      <c r="L66" s="189"/>
      <c r="M66" s="94"/>
      <c r="N66" s="94"/>
      <c r="O66" s="94"/>
      <c r="P66" s="94"/>
      <c r="Q66" s="94"/>
      <c r="R66" s="94"/>
      <c r="S66" s="94"/>
      <c r="T66" s="94"/>
      <c r="U66" s="94"/>
      <c r="V66" s="94"/>
      <c r="W66" s="94"/>
      <c r="X66" s="94"/>
      <c r="Y66" s="94"/>
      <c r="Z66" s="94"/>
    </row>
    <row r="67">
      <c r="A67" s="49" t="s">
        <v>18</v>
      </c>
      <c r="B67" s="50" t="s">
        <v>19</v>
      </c>
      <c r="C67" s="50" t="s">
        <v>20</v>
      </c>
      <c r="D67" s="50" t="s">
        <v>21</v>
      </c>
      <c r="E67" s="51" t="s">
        <v>22</v>
      </c>
      <c r="F67" s="52" t="s">
        <v>23</v>
      </c>
      <c r="G67" s="201"/>
      <c r="H67" s="201"/>
      <c r="I67" s="201"/>
      <c r="J67" s="201"/>
      <c r="K67" s="201"/>
      <c r="L67" s="266"/>
      <c r="M67" s="201"/>
      <c r="N67" s="201"/>
      <c r="O67" s="201"/>
      <c r="P67" s="201"/>
      <c r="Q67" s="201"/>
      <c r="R67" s="201"/>
      <c r="S67" s="201"/>
      <c r="T67" s="201"/>
      <c r="U67" s="201"/>
      <c r="V67" s="201"/>
      <c r="W67" s="201"/>
      <c r="X67" s="201"/>
      <c r="Y67" s="201"/>
      <c r="Z67" s="201"/>
    </row>
    <row r="68">
      <c r="A68" s="275">
        <v>1.0</v>
      </c>
      <c r="B68" s="54" t="str">
        <f> mround('WEEK 1 '!B66*0.85,5)</f>
        <v>#REF!</v>
      </c>
      <c r="C68" s="95" t="s">
        <v>33</v>
      </c>
      <c r="D68" s="56" t="s">
        <v>25</v>
      </c>
      <c r="E68" s="57"/>
      <c r="F68" s="58"/>
      <c r="G68" s="201"/>
      <c r="H68" s="201"/>
      <c r="I68" s="201"/>
      <c r="J68" s="201"/>
      <c r="K68" s="201"/>
      <c r="L68" s="266"/>
      <c r="M68" s="201"/>
      <c r="N68" s="201"/>
      <c r="O68" s="201"/>
      <c r="P68" s="201"/>
      <c r="Q68" s="201"/>
      <c r="R68" s="201"/>
      <c r="S68" s="201"/>
      <c r="T68" s="201"/>
      <c r="U68" s="201"/>
      <c r="V68" s="201"/>
      <c r="W68" s="201"/>
      <c r="X68" s="201"/>
      <c r="Y68" s="201"/>
      <c r="Z68" s="201"/>
    </row>
    <row r="69">
      <c r="A69" s="275">
        <v>2.0</v>
      </c>
      <c r="B69" s="54" t="str">
        <f>IF('WEEK 1 '!F68&lt;6,MROUND('WEEK 1 '!B66*0.75,5),IF('WEEK 1 '!F68&lt;=11,MROUND('WEEK 1 '!B66*0.8,5),'WEEK 1 '!B68))</f>
        <v>#REF!</v>
      </c>
      <c r="C69" s="95" t="s">
        <v>33</v>
      </c>
      <c r="D69" s="56" t="s">
        <v>25</v>
      </c>
      <c r="E69" s="57"/>
      <c r="F69" s="58"/>
      <c r="G69" s="201"/>
      <c r="H69" s="201"/>
      <c r="I69" s="201"/>
      <c r="J69" s="201"/>
      <c r="K69" s="201"/>
      <c r="L69" s="266"/>
      <c r="M69" s="201"/>
      <c r="N69" s="201"/>
      <c r="O69" s="201"/>
      <c r="P69" s="201"/>
      <c r="Q69" s="201"/>
      <c r="R69" s="201"/>
      <c r="S69" s="201"/>
      <c r="T69" s="201"/>
      <c r="U69" s="201"/>
      <c r="V69" s="201"/>
      <c r="W69" s="201"/>
      <c r="X69" s="201"/>
      <c r="Y69" s="201"/>
      <c r="Z69" s="201"/>
    </row>
    <row r="70">
      <c r="A70" s="59">
        <v>3.0</v>
      </c>
      <c r="B70" s="78" t="str">
        <f>IF('WEEK 1 '!F69&lt;6,MROUND('WEEK 1 '!B69*0.8,5),IF('WEEK 1 '!F69&lt;=11,MROUND('WEEK 1 '!B66*0.85,5),'WEEK 1 '!B69))</f>
        <v>#REF!</v>
      </c>
      <c r="C70" s="96" t="s">
        <v>33</v>
      </c>
      <c r="D70" s="276" t="s">
        <v>25</v>
      </c>
      <c r="E70" s="63"/>
      <c r="F70" s="58"/>
      <c r="G70" s="201"/>
      <c r="H70" s="201"/>
      <c r="I70" s="201"/>
      <c r="J70" s="201"/>
      <c r="K70" s="201"/>
      <c r="L70" s="266"/>
      <c r="M70" s="201"/>
      <c r="N70" s="201"/>
      <c r="O70" s="201"/>
      <c r="P70" s="201"/>
      <c r="Q70" s="201"/>
      <c r="R70" s="201"/>
      <c r="S70" s="201"/>
      <c r="T70" s="201"/>
      <c r="U70" s="201"/>
      <c r="V70" s="201"/>
      <c r="W70" s="201"/>
      <c r="X70" s="201"/>
      <c r="Y70" s="201"/>
      <c r="Z70" s="201"/>
    </row>
    <row r="71">
      <c r="A71" s="94"/>
      <c r="B71" s="94"/>
      <c r="C71" s="94"/>
      <c r="D71" s="94"/>
      <c r="E71" s="189"/>
      <c r="F71" s="94"/>
      <c r="G71" s="94"/>
      <c r="H71" s="94"/>
      <c r="I71" s="94"/>
      <c r="J71" s="94"/>
      <c r="K71" s="94"/>
      <c r="L71" s="189"/>
      <c r="M71" s="94"/>
      <c r="N71" s="94"/>
      <c r="O71" s="94"/>
      <c r="P71" s="94"/>
      <c r="Q71" s="94"/>
      <c r="R71" s="94"/>
      <c r="S71" s="94"/>
      <c r="T71" s="94"/>
      <c r="U71" s="94"/>
      <c r="V71" s="94"/>
      <c r="W71" s="94"/>
      <c r="X71" s="94"/>
      <c r="Y71" s="94"/>
      <c r="Z71" s="94"/>
    </row>
    <row r="72" ht="21.75" customHeight="1">
      <c r="A72" s="277" t="str">
        <f>HYPERLINK("https://docs.google.com/a/fitnessresults.com/forms/d/e/1FAIpQLSd7MoczESe8Yjv6BKpmwAZGn9Aiymrs9-UdgfYIUpbr9t5NXg/viewform?usp=pp_url&amp;entry.93370101","CLICK TO COMPLETE WORKOUT")</f>
        <v>CLICK TO COMPLETE WORKOUT</v>
      </c>
      <c r="B72" s="27"/>
      <c r="C72" s="27"/>
      <c r="D72" s="27"/>
      <c r="E72" s="27"/>
      <c r="F72" s="28"/>
      <c r="G72" s="94"/>
      <c r="H72" s="94"/>
      <c r="I72" s="94"/>
      <c r="J72" s="94"/>
      <c r="K72" s="94"/>
      <c r="L72" s="189"/>
      <c r="M72" s="94"/>
      <c r="N72" s="94"/>
      <c r="O72" s="94"/>
      <c r="P72" s="94"/>
      <c r="Q72" s="94"/>
      <c r="R72" s="94"/>
      <c r="S72" s="94"/>
      <c r="T72" s="94"/>
      <c r="U72" s="94"/>
      <c r="V72" s="94"/>
      <c r="W72" s="94"/>
      <c r="X72" s="94"/>
      <c r="Y72" s="94"/>
      <c r="Z72" s="94"/>
    </row>
    <row r="73">
      <c r="G73" s="14"/>
      <c r="H73" s="14"/>
      <c r="I73" s="14"/>
      <c r="J73" s="14"/>
      <c r="K73" s="14"/>
      <c r="L73" s="14"/>
      <c r="M73" s="14"/>
      <c r="N73" s="94"/>
      <c r="O73" s="94"/>
      <c r="P73" s="94"/>
      <c r="Q73" s="94"/>
      <c r="R73" s="94"/>
      <c r="S73" s="94"/>
      <c r="T73" s="94"/>
      <c r="U73" s="94"/>
      <c r="V73" s="94"/>
      <c r="W73" s="94"/>
      <c r="X73" s="94"/>
      <c r="Y73" s="94"/>
      <c r="Z73" s="94"/>
    </row>
    <row r="74" ht="21.75" customHeight="1">
      <c r="A74" s="191" t="s">
        <v>95</v>
      </c>
      <c r="B74" s="27"/>
      <c r="C74" s="27"/>
      <c r="D74" s="27"/>
      <c r="E74" s="27"/>
      <c r="F74" s="28"/>
      <c r="G74" s="94"/>
      <c r="H74" s="94"/>
      <c r="I74" s="94"/>
      <c r="J74" s="94"/>
      <c r="K74" s="94"/>
      <c r="L74" s="189"/>
      <c r="M74" s="94"/>
      <c r="N74" s="94"/>
      <c r="O74" s="94"/>
      <c r="P74" s="94"/>
      <c r="Q74" s="94"/>
      <c r="R74" s="94"/>
      <c r="S74" s="94"/>
      <c r="T74" s="94"/>
      <c r="U74" s="94"/>
      <c r="V74" s="94"/>
      <c r="W74" s="94"/>
      <c r="X74" s="94"/>
      <c r="Y74" s="94"/>
      <c r="Z74" s="94"/>
    </row>
    <row r="75" ht="21.75" customHeight="1">
      <c r="A75" s="278"/>
      <c r="B75" s="278"/>
      <c r="C75" s="278"/>
      <c r="D75" s="278"/>
      <c r="E75" s="278"/>
      <c r="F75" s="278"/>
      <c r="G75" s="94"/>
      <c r="H75" s="94"/>
      <c r="I75" s="94"/>
      <c r="J75" s="94"/>
      <c r="K75" s="94"/>
      <c r="L75" s="189"/>
      <c r="M75" s="94"/>
      <c r="N75" s="94"/>
      <c r="O75" s="94"/>
      <c r="P75" s="94"/>
      <c r="Q75" s="94"/>
      <c r="R75" s="94"/>
      <c r="S75" s="94"/>
      <c r="T75" s="94"/>
      <c r="U75" s="94"/>
      <c r="V75" s="94"/>
      <c r="W75" s="94"/>
      <c r="X75" s="94"/>
      <c r="Y75" s="94"/>
      <c r="Z75" s="94"/>
    </row>
    <row r="76">
      <c r="A76" s="42" t="s">
        <v>96</v>
      </c>
      <c r="B76" s="27"/>
      <c r="C76" s="27"/>
      <c r="D76" s="27"/>
      <c r="E76" s="27"/>
      <c r="F76" s="28"/>
      <c r="G76" s="94"/>
      <c r="H76" s="94"/>
      <c r="I76" s="94"/>
      <c r="J76" s="94"/>
      <c r="K76" s="94"/>
      <c r="L76" s="189"/>
      <c r="M76" s="94"/>
      <c r="N76" s="94"/>
      <c r="O76" s="94"/>
      <c r="P76" s="94"/>
      <c r="Q76" s="94"/>
      <c r="R76" s="94"/>
      <c r="S76" s="94"/>
      <c r="T76" s="94"/>
      <c r="U76" s="94"/>
      <c r="V76" s="94"/>
      <c r="W76" s="94"/>
      <c r="X76" s="94"/>
      <c r="Y76" s="94"/>
      <c r="Z76" s="94"/>
    </row>
    <row r="77">
      <c r="A77" s="192" t="str">
        <f>HYPERLINK("https://www.youtube.com/watch?v=ZjpkMnGZjTQ"," SISSY SQUATS")</f>
        <v> SISSY SQUATS</v>
      </c>
      <c r="B77" s="4"/>
      <c r="C77" s="4"/>
      <c r="D77" s="4"/>
      <c r="E77" s="4"/>
      <c r="F77" s="48"/>
      <c r="G77" s="94"/>
      <c r="H77" s="94"/>
      <c r="I77" s="94"/>
      <c r="J77" s="94"/>
      <c r="K77" s="94"/>
      <c r="L77" s="189"/>
      <c r="M77" s="94"/>
      <c r="N77" s="94"/>
      <c r="O77" s="94"/>
      <c r="P77" s="94"/>
      <c r="Q77" s="94"/>
      <c r="R77" s="94"/>
      <c r="S77" s="94"/>
      <c r="T77" s="94"/>
      <c r="U77" s="94"/>
      <c r="V77" s="94"/>
      <c r="W77" s="94"/>
      <c r="X77" s="94"/>
      <c r="Y77" s="94"/>
      <c r="Z77" s="94"/>
    </row>
    <row r="78">
      <c r="A78" s="49" t="s">
        <v>18</v>
      </c>
      <c r="B78" s="50" t="s">
        <v>19</v>
      </c>
      <c r="C78" s="50" t="s">
        <v>20</v>
      </c>
      <c r="D78" s="50" t="s">
        <v>21</v>
      </c>
      <c r="E78" s="51" t="s">
        <v>22</v>
      </c>
      <c r="F78" s="52" t="s">
        <v>23</v>
      </c>
      <c r="G78" s="201"/>
      <c r="H78" s="201"/>
      <c r="I78" s="201"/>
      <c r="J78" s="201"/>
      <c r="K78" s="201"/>
      <c r="L78" s="266"/>
      <c r="M78" s="201"/>
      <c r="N78" s="201"/>
      <c r="O78" s="201"/>
      <c r="P78" s="201"/>
      <c r="Q78" s="201"/>
      <c r="R78" s="201"/>
      <c r="S78" s="201"/>
      <c r="T78" s="201"/>
      <c r="U78" s="201"/>
      <c r="V78" s="201"/>
      <c r="W78" s="201"/>
      <c r="X78" s="201"/>
      <c r="Y78" s="201"/>
      <c r="Z78" s="201"/>
    </row>
    <row r="79">
      <c r="A79" s="275">
        <v>1.0</v>
      </c>
      <c r="B79" s="56" t="s">
        <v>97</v>
      </c>
      <c r="C79" s="56">
        <v>10.0</v>
      </c>
      <c r="D79" s="229" t="s">
        <v>88</v>
      </c>
      <c r="E79" s="279"/>
      <c r="F79" s="58"/>
      <c r="G79" s="201"/>
      <c r="H79" s="201"/>
      <c r="I79" s="201"/>
      <c r="J79" s="201"/>
      <c r="K79" s="201"/>
      <c r="L79" s="266"/>
      <c r="M79" s="201"/>
      <c r="N79" s="201"/>
      <c r="O79" s="201"/>
      <c r="P79" s="201"/>
      <c r="Q79" s="201"/>
      <c r="R79" s="201"/>
      <c r="S79" s="201"/>
      <c r="T79" s="201"/>
      <c r="U79" s="201"/>
      <c r="V79" s="201"/>
      <c r="W79" s="201"/>
      <c r="X79" s="201"/>
      <c r="Y79" s="201"/>
      <c r="Z79" s="201"/>
    </row>
    <row r="80">
      <c r="A80" s="280">
        <v>2.0</v>
      </c>
      <c r="B80" s="62" t="s">
        <v>97</v>
      </c>
      <c r="C80" s="62">
        <v>10.0</v>
      </c>
      <c r="D80" s="276" t="s">
        <v>88</v>
      </c>
      <c r="E80" s="281"/>
      <c r="F80" s="58"/>
      <c r="G80" s="201"/>
      <c r="H80" s="201"/>
      <c r="I80" s="201"/>
      <c r="J80" s="201"/>
      <c r="K80" s="201"/>
      <c r="L80" s="266"/>
      <c r="M80" s="201"/>
      <c r="N80" s="201"/>
      <c r="O80" s="201"/>
      <c r="P80" s="201"/>
      <c r="Q80" s="201"/>
      <c r="R80" s="201"/>
      <c r="S80" s="201"/>
      <c r="T80" s="201"/>
      <c r="U80" s="201"/>
      <c r="V80" s="201"/>
      <c r="W80" s="201"/>
      <c r="X80" s="201"/>
      <c r="Y80" s="201"/>
      <c r="Z80" s="201"/>
    </row>
    <row r="81">
      <c r="A81" s="187"/>
      <c r="B81" s="187"/>
      <c r="C81" s="187"/>
      <c r="D81" s="187"/>
      <c r="E81" s="246"/>
      <c r="F81" s="187"/>
      <c r="G81" s="94"/>
      <c r="H81" s="94"/>
      <c r="I81" s="94"/>
      <c r="J81" s="94"/>
      <c r="K81" s="94"/>
      <c r="L81" s="189"/>
      <c r="M81" s="94"/>
      <c r="N81" s="94"/>
      <c r="O81" s="94"/>
      <c r="P81" s="94"/>
      <c r="Q81" s="94"/>
      <c r="R81" s="94"/>
      <c r="S81" s="94"/>
      <c r="T81" s="94"/>
      <c r="U81" s="94"/>
      <c r="V81" s="94"/>
      <c r="W81" s="94"/>
      <c r="X81" s="94"/>
      <c r="Y81" s="94"/>
      <c r="Z81" s="94"/>
    </row>
    <row r="82">
      <c r="A82" s="187"/>
      <c r="B82" s="187"/>
      <c r="C82" s="187"/>
      <c r="D82" s="187"/>
      <c r="E82" s="246"/>
      <c r="F82" s="187"/>
      <c r="G82" s="94"/>
      <c r="H82" s="94"/>
      <c r="I82" s="94"/>
      <c r="J82" s="94"/>
      <c r="K82" s="94"/>
      <c r="L82" s="189"/>
      <c r="M82" s="94"/>
      <c r="N82" s="94"/>
      <c r="O82" s="94"/>
      <c r="P82" s="94"/>
      <c r="Q82" s="94"/>
      <c r="R82" s="94"/>
      <c r="S82" s="94"/>
      <c r="T82" s="94"/>
      <c r="U82" s="94"/>
      <c r="V82" s="94"/>
      <c r="W82" s="94"/>
      <c r="X82" s="94"/>
      <c r="Y82" s="94"/>
      <c r="Z82" s="94"/>
    </row>
    <row r="83">
      <c r="A83" s="64" t="str">
        <f>HYPERLINK("https://www.youtube.com/watch?v=dVterVQksD4","1. LEG PRESS")</f>
        <v>1. LEG PRESS</v>
      </c>
      <c r="B83" s="44"/>
      <c r="C83" s="44"/>
      <c r="D83" s="44"/>
      <c r="E83" s="44"/>
      <c r="F83" s="45"/>
      <c r="G83" s="282"/>
      <c r="H83" s="94"/>
      <c r="I83" s="94"/>
      <c r="J83" s="94"/>
      <c r="K83" s="94"/>
      <c r="L83" s="189"/>
      <c r="M83" s="94"/>
      <c r="N83" s="94"/>
      <c r="O83" s="94"/>
      <c r="P83" s="94"/>
      <c r="Q83" s="94"/>
      <c r="R83" s="94"/>
      <c r="S83" s="94"/>
      <c r="T83" s="94"/>
      <c r="U83" s="94"/>
      <c r="V83" s="94"/>
      <c r="W83" s="94"/>
      <c r="X83" s="94"/>
      <c r="Y83" s="94"/>
      <c r="Z83" s="94"/>
    </row>
    <row r="84">
      <c r="A84" s="249" t="s">
        <v>86</v>
      </c>
      <c r="B84" s="283">
        <v>100.0</v>
      </c>
      <c r="C84" s="11"/>
      <c r="D84" s="11"/>
      <c r="E84" s="11"/>
      <c r="F84" s="86"/>
      <c r="G84" s="94"/>
      <c r="H84" s="94"/>
      <c r="I84" s="94"/>
      <c r="J84" s="94"/>
      <c r="K84" s="94"/>
      <c r="L84" s="189"/>
      <c r="M84" s="94"/>
      <c r="N84" s="94"/>
      <c r="O84" s="94"/>
      <c r="P84" s="94"/>
      <c r="Q84" s="94"/>
      <c r="R84" s="94"/>
      <c r="S84" s="94"/>
      <c r="T84" s="94"/>
      <c r="U84" s="94"/>
      <c r="V84" s="94"/>
      <c r="W84" s="94"/>
      <c r="X84" s="94"/>
      <c r="Y84" s="94"/>
      <c r="Z84" s="94"/>
    </row>
    <row r="85">
      <c r="A85" s="49" t="s">
        <v>18</v>
      </c>
      <c r="B85" s="50" t="s">
        <v>19</v>
      </c>
      <c r="C85" s="50" t="s">
        <v>20</v>
      </c>
      <c r="D85" s="50" t="s">
        <v>21</v>
      </c>
      <c r="E85" s="51" t="s">
        <v>22</v>
      </c>
      <c r="F85" s="52" t="s">
        <v>23</v>
      </c>
      <c r="G85" s="201"/>
      <c r="H85" s="201"/>
      <c r="I85" s="201"/>
      <c r="J85" s="201"/>
      <c r="K85" s="201"/>
      <c r="L85" s="266"/>
      <c r="M85" s="201"/>
      <c r="N85" s="201"/>
      <c r="O85" s="201"/>
      <c r="P85" s="201"/>
      <c r="Q85" s="201"/>
      <c r="R85" s="201"/>
      <c r="S85" s="201"/>
      <c r="T85" s="201"/>
      <c r="U85" s="201"/>
      <c r="V85" s="201"/>
      <c r="W85" s="201"/>
      <c r="X85" s="201"/>
      <c r="Y85" s="201"/>
      <c r="Z85" s="201"/>
    </row>
    <row r="86">
      <c r="A86" s="275">
        <v>1.0</v>
      </c>
      <c r="B86" s="284" t="str">
        <f>mround('WEEK 1 '!B84*0.35,5)</f>
        <v>#REF!</v>
      </c>
      <c r="C86" s="90">
        <v>20.0</v>
      </c>
      <c r="D86" s="229" t="s">
        <v>88</v>
      </c>
      <c r="E86" s="57"/>
      <c r="F86" s="58"/>
      <c r="G86" s="201"/>
      <c r="H86" s="285"/>
      <c r="I86" s="201"/>
      <c r="J86" s="201"/>
      <c r="K86" s="201"/>
      <c r="L86" s="266"/>
      <c r="M86" s="201"/>
      <c r="N86" s="201"/>
      <c r="O86" s="201"/>
      <c r="P86" s="201"/>
      <c r="Q86" s="201"/>
      <c r="R86" s="201"/>
      <c r="S86" s="201"/>
      <c r="T86" s="201"/>
      <c r="U86" s="201"/>
      <c r="V86" s="201"/>
      <c r="W86" s="201"/>
      <c r="X86" s="201"/>
      <c r="Y86" s="201"/>
      <c r="Z86" s="201"/>
    </row>
    <row r="87">
      <c r="A87" s="275">
        <v>2.0</v>
      </c>
      <c r="B87" s="284" t="str">
        <f>mround('WEEK 1 '!B84*0.5,5)</f>
        <v>#REF!</v>
      </c>
      <c r="C87" s="90">
        <v>20.0</v>
      </c>
      <c r="D87" s="229" t="s">
        <v>88</v>
      </c>
      <c r="E87" s="57"/>
      <c r="F87" s="58"/>
      <c r="G87" s="201"/>
      <c r="H87" s="201"/>
      <c r="I87" s="201"/>
      <c r="J87" s="201"/>
      <c r="K87" s="201"/>
      <c r="L87" s="266"/>
      <c r="M87" s="201"/>
      <c r="N87" s="201"/>
      <c r="O87" s="201"/>
      <c r="P87" s="201"/>
      <c r="Q87" s="201"/>
      <c r="R87" s="201"/>
      <c r="S87" s="201"/>
      <c r="T87" s="201"/>
      <c r="U87" s="201"/>
      <c r="V87" s="201"/>
      <c r="W87" s="201"/>
      <c r="X87" s="201"/>
      <c r="Y87" s="201"/>
      <c r="Z87" s="201"/>
    </row>
    <row r="88">
      <c r="A88" s="275">
        <v>3.0</v>
      </c>
      <c r="B88" s="284" t="str">
        <f>mround('WEEK 1 '!B84*0.75,5)</f>
        <v>#REF!</v>
      </c>
      <c r="C88" s="55">
        <v>20.0</v>
      </c>
      <c r="D88" s="229" t="s">
        <v>88</v>
      </c>
      <c r="E88" s="57"/>
      <c r="F88" s="58"/>
      <c r="G88" s="201"/>
      <c r="H88" s="201"/>
      <c r="I88" s="201"/>
      <c r="J88" s="201"/>
      <c r="K88" s="201"/>
      <c r="L88" s="266"/>
      <c r="M88" s="201"/>
      <c r="N88" s="201"/>
      <c r="O88" s="201"/>
      <c r="P88" s="201"/>
      <c r="Q88" s="201"/>
      <c r="R88" s="201"/>
      <c r="S88" s="201"/>
      <c r="T88" s="201"/>
      <c r="U88" s="201"/>
      <c r="V88" s="201"/>
      <c r="W88" s="201"/>
      <c r="X88" s="201"/>
      <c r="Y88" s="201"/>
      <c r="Z88" s="201"/>
    </row>
    <row r="89">
      <c r="A89" s="280">
        <v>4.0</v>
      </c>
      <c r="B89" s="258" t="str">
        <f>mround('WEEK 1 '!B84*1,5)</f>
        <v>#REF!</v>
      </c>
      <c r="C89" s="92">
        <v>20.0</v>
      </c>
      <c r="D89" s="276" t="s">
        <v>88</v>
      </c>
      <c r="E89" s="63"/>
      <c r="F89" s="58"/>
      <c r="G89" s="201"/>
      <c r="H89" s="201"/>
      <c r="I89" s="201"/>
      <c r="J89" s="201"/>
      <c r="K89" s="201"/>
      <c r="L89" s="266"/>
      <c r="M89" s="201"/>
      <c r="N89" s="201"/>
      <c r="O89" s="201"/>
      <c r="P89" s="201"/>
      <c r="Q89" s="201"/>
      <c r="R89" s="201"/>
      <c r="S89" s="201"/>
      <c r="T89" s="201"/>
      <c r="U89" s="201"/>
      <c r="V89" s="201"/>
      <c r="W89" s="201"/>
      <c r="X89" s="201"/>
      <c r="Y89" s="201"/>
      <c r="Z89" s="201"/>
    </row>
    <row r="90">
      <c r="A90" s="200"/>
      <c r="B90" s="200"/>
      <c r="C90" s="200"/>
      <c r="D90" s="200"/>
      <c r="E90" s="286"/>
      <c r="F90" s="200"/>
      <c r="G90" s="201"/>
      <c r="H90" s="201"/>
      <c r="I90" s="201"/>
      <c r="J90" s="201"/>
      <c r="K90" s="201"/>
      <c r="L90" s="266"/>
      <c r="M90" s="201"/>
      <c r="N90" s="201"/>
      <c r="O90" s="201"/>
      <c r="P90" s="201"/>
      <c r="Q90" s="201"/>
      <c r="R90" s="201"/>
      <c r="S90" s="201"/>
      <c r="T90" s="201"/>
      <c r="U90" s="201"/>
      <c r="V90" s="201"/>
      <c r="W90" s="201"/>
      <c r="X90" s="201"/>
      <c r="Y90" s="201"/>
      <c r="Z90" s="201"/>
    </row>
    <row r="91">
      <c r="A91" s="287"/>
      <c r="B91" s="287"/>
      <c r="C91" s="287"/>
      <c r="D91" s="287"/>
      <c r="E91" s="288"/>
      <c r="F91" s="287"/>
      <c r="G91" s="94"/>
      <c r="H91" s="94"/>
      <c r="I91" s="94"/>
      <c r="J91" s="94"/>
      <c r="K91" s="94"/>
      <c r="L91" s="189"/>
      <c r="M91" s="94"/>
      <c r="N91" s="94"/>
      <c r="O91" s="94"/>
      <c r="P91" s="94"/>
      <c r="Q91" s="94"/>
      <c r="R91" s="94"/>
      <c r="S91" s="94"/>
      <c r="T91" s="94"/>
      <c r="U91" s="94"/>
      <c r="V91" s="94"/>
      <c r="W91" s="94"/>
      <c r="X91" s="94"/>
      <c r="Y91" s="94"/>
      <c r="Z91" s="94"/>
    </row>
    <row r="92">
      <c r="A92" s="84" t="str">
        <f>HYPERLINK("https://youtu.be/NZ9KiFtbiMs","2. LEG EXTENSION")</f>
        <v>2. LEG EXTENSION</v>
      </c>
      <c r="B92" s="44"/>
      <c r="C92" s="44"/>
      <c r="D92" s="44"/>
      <c r="E92" s="44"/>
      <c r="F92" s="45"/>
      <c r="G92" s="94"/>
      <c r="H92" s="94"/>
      <c r="I92" s="94"/>
      <c r="J92" s="94"/>
      <c r="K92" s="94"/>
      <c r="L92" s="189"/>
      <c r="M92" s="94"/>
      <c r="N92" s="94"/>
      <c r="O92" s="94"/>
      <c r="P92" s="94"/>
      <c r="Q92" s="94"/>
      <c r="R92" s="94"/>
      <c r="S92" s="94"/>
      <c r="T92" s="94"/>
      <c r="U92" s="94"/>
      <c r="V92" s="94"/>
      <c r="W92" s="94"/>
      <c r="X92" s="94"/>
      <c r="Y92" s="94"/>
      <c r="Z92" s="94"/>
    </row>
    <row r="93">
      <c r="A93" s="193" t="s">
        <v>86</v>
      </c>
      <c r="B93" s="85">
        <v>100.0</v>
      </c>
      <c r="C93" s="11"/>
      <c r="D93" s="11"/>
      <c r="E93" s="11"/>
      <c r="F93" s="86"/>
      <c r="G93" s="94"/>
      <c r="H93" s="94"/>
      <c r="I93" s="94"/>
      <c r="J93" s="94"/>
      <c r="K93" s="94"/>
      <c r="L93" s="189"/>
      <c r="M93" s="94"/>
      <c r="N93" s="94"/>
      <c r="O93" s="94"/>
      <c r="P93" s="94"/>
      <c r="Q93" s="94"/>
      <c r="R93" s="94"/>
      <c r="S93" s="94"/>
      <c r="T93" s="94"/>
      <c r="U93" s="94"/>
      <c r="V93" s="94"/>
      <c r="W93" s="94"/>
      <c r="X93" s="94"/>
      <c r="Y93" s="94"/>
      <c r="Z93" s="94"/>
    </row>
    <row r="94">
      <c r="A94" s="87" t="s">
        <v>18</v>
      </c>
      <c r="B94" s="88" t="s">
        <v>19</v>
      </c>
      <c r="C94" s="88" t="s">
        <v>20</v>
      </c>
      <c r="D94" s="88" t="s">
        <v>21</v>
      </c>
      <c r="E94" s="89" t="s">
        <v>22</v>
      </c>
      <c r="F94" s="202" t="s">
        <v>23</v>
      </c>
      <c r="G94" s="201"/>
      <c r="H94" s="201"/>
      <c r="I94" s="201"/>
      <c r="J94" s="201"/>
      <c r="K94" s="201"/>
      <c r="L94" s="266"/>
      <c r="M94" s="201"/>
      <c r="N94" s="201"/>
      <c r="O94" s="201"/>
      <c r="P94" s="201"/>
      <c r="Q94" s="201"/>
      <c r="R94" s="201"/>
      <c r="S94" s="201"/>
      <c r="T94" s="201"/>
      <c r="U94" s="201"/>
      <c r="V94" s="201"/>
      <c r="W94" s="201"/>
      <c r="X94" s="201"/>
      <c r="Y94" s="201"/>
      <c r="Z94" s="201"/>
    </row>
    <row r="95">
      <c r="A95" s="53">
        <v>1.0</v>
      </c>
      <c r="B95" s="90" t="str">
        <f> mround('WEEK 1 '!B93*1.05,5)</f>
        <v>#REF!</v>
      </c>
      <c r="C95" s="95" t="s">
        <v>33</v>
      </c>
      <c r="D95" s="74" t="s">
        <v>25</v>
      </c>
      <c r="E95" s="91"/>
      <c r="F95" s="76"/>
      <c r="G95" s="94"/>
      <c r="H95" s="94"/>
      <c r="I95" s="94"/>
      <c r="J95" s="94"/>
      <c r="K95" s="94"/>
      <c r="L95" s="189"/>
      <c r="M95" s="94"/>
      <c r="N95" s="94"/>
      <c r="O95" s="94"/>
      <c r="P95" s="94"/>
      <c r="Q95" s="94"/>
      <c r="R95" s="94"/>
      <c r="S95" s="94"/>
      <c r="T95" s="94"/>
      <c r="U95" s="94"/>
      <c r="V95" s="94"/>
      <c r="W95" s="94"/>
      <c r="X95" s="94"/>
      <c r="Y95" s="94"/>
      <c r="Z95" s="94"/>
    </row>
    <row r="96">
      <c r="A96" s="53">
        <v>2.0</v>
      </c>
      <c r="B96" s="90" t="str">
        <f>if('WEEK 1 '!F95&lt;8,mround('WEEK 1 '!B95*0.9,5),IF('WEEK 1 '!F95&lt;=14,MROUND('WEEK 1 '!B95*0.95,5),'WEEK 1 '!B95))</f>
        <v>#REF!</v>
      </c>
      <c r="C96" s="95" t="s">
        <v>33</v>
      </c>
      <c r="D96" s="74" t="s">
        <v>25</v>
      </c>
      <c r="E96" s="91"/>
      <c r="F96" s="76"/>
      <c r="G96" s="206"/>
      <c r="H96" s="206"/>
      <c r="I96" s="206"/>
      <c r="J96" s="206"/>
      <c r="K96" s="206"/>
      <c r="L96" s="289"/>
      <c r="M96" s="206"/>
      <c r="N96" s="206"/>
      <c r="O96" s="206"/>
      <c r="P96" s="206"/>
      <c r="Q96" s="206"/>
      <c r="R96" s="206"/>
      <c r="S96" s="206"/>
      <c r="T96" s="206"/>
      <c r="U96" s="206"/>
      <c r="V96" s="206"/>
      <c r="W96" s="206"/>
      <c r="X96" s="206"/>
      <c r="Y96" s="206"/>
      <c r="Z96" s="206"/>
    </row>
    <row r="97">
      <c r="A97" s="59">
        <v>3.0</v>
      </c>
      <c r="B97" s="92" t="str">
        <f>if('WEEK 1 '!F96&lt;8,mround('WEEK 1 '!B96*0.8,5),IF('WEEK 1 '!F96&lt;=14,MROUND('WEEK 1 '!B96*0.95,5),'WEEK 1 '!B96))</f>
        <v>#REF!</v>
      </c>
      <c r="C97" s="96" t="s">
        <v>33</v>
      </c>
      <c r="D97" s="79" t="s">
        <v>25</v>
      </c>
      <c r="E97" s="93"/>
      <c r="F97" s="76"/>
      <c r="G97" s="94"/>
      <c r="H97" s="94"/>
      <c r="I97" s="94"/>
      <c r="J97" s="94"/>
      <c r="K97" s="94"/>
      <c r="L97" s="189"/>
      <c r="M97" s="94"/>
      <c r="N97" s="94"/>
      <c r="O97" s="94"/>
      <c r="P97" s="94"/>
      <c r="Q97" s="94"/>
      <c r="R97" s="94"/>
      <c r="S97" s="94"/>
      <c r="T97" s="94"/>
      <c r="U97" s="94"/>
      <c r="V97" s="94"/>
      <c r="W97" s="94"/>
      <c r="X97" s="94"/>
      <c r="Y97" s="94"/>
      <c r="Z97" s="94"/>
    </row>
    <row r="98">
      <c r="A98" s="94"/>
      <c r="B98" s="94"/>
      <c r="C98" s="94"/>
      <c r="D98" s="94"/>
      <c r="E98" s="189"/>
      <c r="F98" s="94"/>
      <c r="G98" s="94"/>
      <c r="H98" s="94"/>
      <c r="I98" s="94"/>
      <c r="J98" s="94"/>
      <c r="K98" s="94"/>
      <c r="L98" s="189"/>
      <c r="M98" s="94"/>
      <c r="N98" s="94"/>
      <c r="O98" s="94"/>
      <c r="P98" s="94"/>
      <c r="Q98" s="94"/>
      <c r="R98" s="94"/>
      <c r="S98" s="94"/>
      <c r="T98" s="94"/>
      <c r="U98" s="94"/>
      <c r="V98" s="94"/>
      <c r="W98" s="94"/>
      <c r="X98" s="94"/>
      <c r="Y98" s="94"/>
      <c r="Z98" s="94"/>
    </row>
    <row r="99">
      <c r="A99" s="94"/>
      <c r="B99" s="94"/>
      <c r="C99" s="94"/>
      <c r="D99" s="94"/>
      <c r="E99" s="189"/>
      <c r="F99" s="94"/>
      <c r="G99" s="94"/>
      <c r="H99" s="94"/>
      <c r="I99" s="94"/>
      <c r="J99" s="94"/>
      <c r="K99" s="94"/>
      <c r="L99" s="189"/>
      <c r="M99" s="94"/>
      <c r="N99" s="94"/>
      <c r="O99" s="94"/>
      <c r="P99" s="94"/>
      <c r="Q99" s="94"/>
      <c r="R99" s="94"/>
      <c r="S99" s="94"/>
      <c r="T99" s="94"/>
      <c r="U99" s="94"/>
      <c r="V99" s="94"/>
      <c r="W99" s="94"/>
      <c r="X99" s="94"/>
      <c r="Y99" s="94"/>
      <c r="Z99" s="94"/>
    </row>
    <row r="100">
      <c r="A100" s="64" t="str">
        <f>HYPERLINK("https://youtu.be/XepOfsnGFJg","3. LEG CURL")</f>
        <v>3. LEG CURL</v>
      </c>
      <c r="B100" s="44"/>
      <c r="C100" s="44"/>
      <c r="D100" s="44"/>
      <c r="E100" s="44"/>
      <c r="F100" s="45"/>
      <c r="G100" s="94"/>
      <c r="H100" s="290" t="str">
        <f>HYPERLINK("https://youtu.be/kmN9cJ79PDE","4. PRONE LEG CURL")</f>
        <v>4. PRONE LEG CURL</v>
      </c>
      <c r="I100" s="44"/>
      <c r="J100" s="44"/>
      <c r="K100" s="44"/>
      <c r="L100" s="44"/>
      <c r="M100" s="45"/>
      <c r="N100" s="244"/>
      <c r="O100" s="94"/>
      <c r="P100" s="94"/>
      <c r="Q100" s="94"/>
      <c r="R100" s="94"/>
      <c r="S100" s="94"/>
      <c r="T100" s="94"/>
      <c r="U100" s="94"/>
      <c r="V100" s="94"/>
      <c r="W100" s="94"/>
      <c r="X100" s="94"/>
      <c r="Y100" s="94"/>
      <c r="Z100" s="94"/>
    </row>
    <row r="101">
      <c r="A101" s="193" t="s">
        <v>86</v>
      </c>
      <c r="B101" s="85">
        <f>'Copy of DETERMINING MAX WEEK 1'!E141</f>
        <v>100</v>
      </c>
      <c r="C101" s="11"/>
      <c r="D101" s="11"/>
      <c r="E101" s="11"/>
      <c r="F101" s="86"/>
      <c r="G101" s="94"/>
      <c r="H101" s="193" t="s">
        <v>86</v>
      </c>
      <c r="I101" s="85">
        <f>B101</f>
        <v>100</v>
      </c>
      <c r="J101" s="11"/>
      <c r="K101" s="11"/>
      <c r="L101" s="11"/>
      <c r="M101" s="86"/>
      <c r="N101" s="94"/>
      <c r="O101" s="94"/>
      <c r="P101" s="94"/>
      <c r="Q101" s="94"/>
      <c r="R101" s="94"/>
      <c r="S101" s="94"/>
      <c r="T101" s="94"/>
      <c r="U101" s="94"/>
      <c r="V101" s="94"/>
      <c r="W101" s="94"/>
      <c r="X101" s="94"/>
      <c r="Y101" s="94"/>
      <c r="Z101" s="94"/>
    </row>
    <row r="102">
      <c r="A102" s="87" t="s">
        <v>18</v>
      </c>
      <c r="B102" s="88" t="s">
        <v>19</v>
      </c>
      <c r="C102" s="88" t="s">
        <v>20</v>
      </c>
      <c r="D102" s="88" t="s">
        <v>21</v>
      </c>
      <c r="E102" s="89" t="s">
        <v>22</v>
      </c>
      <c r="F102" s="202" t="s">
        <v>23</v>
      </c>
      <c r="G102" s="201"/>
      <c r="H102" s="87" t="s">
        <v>18</v>
      </c>
      <c r="I102" s="88" t="s">
        <v>19</v>
      </c>
      <c r="J102" s="88" t="s">
        <v>20</v>
      </c>
      <c r="K102" s="88" t="s">
        <v>21</v>
      </c>
      <c r="L102" s="89" t="s">
        <v>22</v>
      </c>
      <c r="M102" s="202" t="s">
        <v>23</v>
      </c>
      <c r="N102" s="201"/>
      <c r="O102" s="201"/>
      <c r="P102" s="201"/>
      <c r="Q102" s="201"/>
      <c r="R102" s="201"/>
      <c r="S102" s="201"/>
      <c r="T102" s="201"/>
      <c r="U102" s="201"/>
      <c r="V102" s="201"/>
      <c r="W102" s="201"/>
      <c r="X102" s="201"/>
      <c r="Y102" s="201"/>
      <c r="Z102" s="201"/>
    </row>
    <row r="103">
      <c r="A103" s="53">
        <v>1.0</v>
      </c>
      <c r="B103" s="90" t="str">
        <f> mround('WEEK 1 '!B101*1.05,5)</f>
        <v>#REF!</v>
      </c>
      <c r="C103" s="95" t="s">
        <v>33</v>
      </c>
      <c r="D103" s="74" t="s">
        <v>25</v>
      </c>
      <c r="E103" s="91"/>
      <c r="F103" s="76"/>
      <c r="G103" s="291" t="s">
        <v>90</v>
      </c>
      <c r="H103" s="53">
        <v>1.0</v>
      </c>
      <c r="I103" s="90" t="str">
        <f> mround('WEEK 1 '!I101*1.05,5)</f>
        <v>#REF!</v>
      </c>
      <c r="J103" s="95" t="s">
        <v>33</v>
      </c>
      <c r="K103" s="74" t="s">
        <v>25</v>
      </c>
      <c r="L103" s="91"/>
      <c r="M103" s="76"/>
      <c r="N103" s="94"/>
      <c r="O103" s="94"/>
      <c r="P103" s="94"/>
      <c r="Q103" s="94"/>
      <c r="R103" s="94"/>
      <c r="S103" s="94"/>
      <c r="T103" s="94"/>
      <c r="U103" s="94"/>
      <c r="V103" s="94"/>
      <c r="W103" s="94"/>
      <c r="X103" s="94"/>
      <c r="Y103" s="94"/>
      <c r="Z103" s="94"/>
    </row>
    <row r="104">
      <c r="A104" s="53">
        <v>2.0</v>
      </c>
      <c r="B104" s="90" t="str">
        <f>if('WEEK 1 '!F103&lt;8,mround('WEEK 1 '!B103*0.95,5),IF('WEEK 1 '!F103&lt;=14,MROUND('WEEK 1 '!B103*0.95,5),'WEEK 1 '!B103))</f>
        <v>#REF!</v>
      </c>
      <c r="C104" s="95" t="s">
        <v>33</v>
      </c>
      <c r="D104" s="74" t="s">
        <v>25</v>
      </c>
      <c r="E104" s="91"/>
      <c r="F104" s="76"/>
      <c r="H104" s="53">
        <v>2.0</v>
      </c>
      <c r="I104" s="90" t="str">
        <f>if('WEEK 1 '!M103&lt;5,mround('WEEK 1 '!I103*0.8,5),IF('WEEK 1 '!M103&lt;=10,MROUND('WEEK 1 '!I103*0.95,5),'WEEK 1 '!I103))</f>
        <v>#REF!</v>
      </c>
      <c r="J104" s="95" t="s">
        <v>33</v>
      </c>
      <c r="K104" s="74" t="s">
        <v>25</v>
      </c>
      <c r="L104" s="91"/>
      <c r="M104" s="76"/>
      <c r="N104" s="206"/>
      <c r="O104" s="206"/>
      <c r="P104" s="206"/>
      <c r="Q104" s="206"/>
      <c r="R104" s="206"/>
      <c r="S104" s="206"/>
      <c r="T104" s="206"/>
      <c r="U104" s="206"/>
      <c r="V104" s="206"/>
      <c r="W104" s="206"/>
      <c r="X104" s="206"/>
      <c r="Y104" s="206"/>
      <c r="Z104" s="206"/>
    </row>
    <row r="105">
      <c r="A105" s="292">
        <v>3.0</v>
      </c>
      <c r="B105" s="293" t="str">
        <f>if('WEEK 1 '!F104&lt;8,mround('WEEK 1 '!B104*0.8,5),IF('WEEK 1 '!F104&lt;=14,MROUND('WEEK 1 '!B104*0.95,5),'WEEK 1 '!B104))</f>
        <v>#REF!</v>
      </c>
      <c r="C105" s="294" t="s">
        <v>33</v>
      </c>
      <c r="D105" s="295" t="s">
        <v>25</v>
      </c>
      <c r="E105" s="296"/>
      <c r="F105" s="297"/>
      <c r="G105" s="94"/>
      <c r="H105" s="53">
        <v>3.0</v>
      </c>
      <c r="I105" s="90" t="str">
        <f>if('WEEK 1 '!M104&lt;4,mround('WEEK 1 '!I104*0.8,5),IF('WEEK 1 '!M104&lt;=10,MROUND('WEEK 1 '!I104*0.95,5),'WEEK 1 '!I104))</f>
        <v>#REF!</v>
      </c>
      <c r="J105" s="95" t="s">
        <v>33</v>
      </c>
      <c r="K105" s="74" t="s">
        <v>25</v>
      </c>
      <c r="L105" s="91"/>
      <c r="M105" s="76"/>
      <c r="N105" s="94"/>
      <c r="O105" s="94"/>
      <c r="P105" s="94"/>
      <c r="Q105" s="94"/>
      <c r="R105" s="94"/>
      <c r="S105" s="94"/>
      <c r="T105" s="94"/>
      <c r="U105" s="94"/>
      <c r="V105" s="94"/>
      <c r="W105" s="94"/>
      <c r="X105" s="94"/>
      <c r="Y105" s="94"/>
      <c r="Z105" s="94"/>
    </row>
    <row r="106">
      <c r="A106" s="298"/>
      <c r="B106" s="298"/>
      <c r="C106" s="298"/>
      <c r="D106" s="298"/>
      <c r="E106" s="298"/>
      <c r="F106" s="298"/>
      <c r="G106" s="206"/>
      <c r="H106" s="239" t="s">
        <v>91</v>
      </c>
      <c r="I106" s="299" t="str">
        <f>IF('WEEK 1 '!M103&lt;10,'WEEK 1 '!I101,IF('WEEK 1 '!M104&gt;=10,'WEEK 1 '!I104,'WEEK 1 '!I103))</f>
        <v>#REF!</v>
      </c>
      <c r="J106" s="24"/>
      <c r="K106" s="24"/>
      <c r="L106" s="24"/>
      <c r="M106" s="25"/>
      <c r="N106" s="206"/>
      <c r="O106" s="206"/>
      <c r="P106" s="206"/>
      <c r="Q106" s="206"/>
      <c r="R106" s="206"/>
      <c r="S106" s="206"/>
      <c r="T106" s="206"/>
      <c r="U106" s="206"/>
      <c r="V106" s="206"/>
      <c r="W106" s="206"/>
      <c r="X106" s="206"/>
      <c r="Y106" s="206"/>
      <c r="Z106" s="206"/>
    </row>
    <row r="107">
      <c r="A107" s="94"/>
      <c r="B107" s="94"/>
      <c r="C107" s="94"/>
      <c r="D107" s="94"/>
      <c r="E107" s="189"/>
      <c r="F107" s="94"/>
      <c r="G107" s="94"/>
      <c r="H107" s="94"/>
      <c r="I107" s="94"/>
      <c r="J107" s="94"/>
      <c r="K107" s="94"/>
      <c r="L107" s="189"/>
      <c r="M107" s="94"/>
      <c r="N107" s="94"/>
      <c r="O107" s="94"/>
      <c r="P107" s="94"/>
      <c r="Q107" s="94"/>
      <c r="R107" s="94"/>
      <c r="S107" s="94"/>
      <c r="T107" s="94"/>
      <c r="U107" s="94"/>
      <c r="V107" s="94"/>
      <c r="W107" s="94"/>
      <c r="X107" s="94"/>
      <c r="Y107" s="94"/>
      <c r="Z107" s="94"/>
    </row>
    <row r="108">
      <c r="A108" s="94"/>
      <c r="B108" s="94"/>
      <c r="C108" s="94"/>
      <c r="D108" s="94"/>
      <c r="E108" s="189"/>
      <c r="F108" s="94"/>
      <c r="G108" s="94"/>
      <c r="N108" s="94"/>
      <c r="O108" s="94"/>
      <c r="P108" s="94"/>
      <c r="Q108" s="94"/>
      <c r="R108" s="94"/>
      <c r="S108" s="94"/>
      <c r="T108" s="94"/>
      <c r="U108" s="94"/>
      <c r="V108" s="94"/>
      <c r="W108" s="94"/>
      <c r="X108" s="94"/>
      <c r="Y108" s="94"/>
      <c r="Z108" s="94"/>
    </row>
    <row r="109">
      <c r="A109" s="300" t="s">
        <v>30</v>
      </c>
      <c r="B109" s="16"/>
      <c r="C109" s="16"/>
      <c r="D109" s="16"/>
      <c r="E109" s="16"/>
      <c r="F109" s="17"/>
      <c r="G109" s="94"/>
      <c r="N109" s="94"/>
      <c r="O109" s="94"/>
      <c r="P109" s="94"/>
      <c r="Q109" s="94"/>
      <c r="R109" s="94"/>
      <c r="S109" s="94"/>
      <c r="T109" s="94"/>
      <c r="U109" s="94"/>
      <c r="V109" s="94"/>
      <c r="W109" s="94"/>
      <c r="X109" s="94"/>
      <c r="Y109" s="94"/>
      <c r="Z109" s="94"/>
    </row>
    <row r="110">
      <c r="A110" s="301"/>
      <c r="B110" s="16"/>
      <c r="C110" s="16"/>
      <c r="D110" s="16"/>
      <c r="E110" s="16"/>
      <c r="F110" s="16"/>
      <c r="G110" s="94"/>
      <c r="H110" s="302" t="str">
        <f>HYPERLINK("https://www.youtube.com/watch?v=qrv8cCA-WCY","WATCH THIS BEFORE MACHINE PRESS")</f>
        <v>WATCH THIS BEFORE MACHINE PRESS</v>
      </c>
      <c r="I110" s="16"/>
      <c r="J110" s="16"/>
      <c r="K110" s="16"/>
      <c r="L110" s="16"/>
      <c r="M110" s="17"/>
      <c r="N110" s="94"/>
      <c r="O110" s="94"/>
      <c r="P110" s="94"/>
      <c r="Q110" s="94"/>
      <c r="R110" s="94"/>
      <c r="S110" s="94"/>
      <c r="T110" s="94"/>
      <c r="U110" s="94"/>
      <c r="V110" s="94"/>
      <c r="W110" s="94"/>
      <c r="X110" s="94"/>
      <c r="Y110" s="94"/>
      <c r="Z110" s="94"/>
    </row>
    <row r="111">
      <c r="A111" s="2"/>
      <c r="B111" s="2"/>
      <c r="C111" s="2"/>
      <c r="D111" s="2"/>
      <c r="E111" s="2"/>
      <c r="F111" s="2"/>
      <c r="G111" s="94"/>
      <c r="H111" s="303"/>
      <c r="I111" s="2"/>
      <c r="J111" s="2"/>
      <c r="K111" s="2"/>
      <c r="L111" s="2"/>
      <c r="M111" s="37"/>
      <c r="N111" s="94"/>
      <c r="O111" s="94"/>
      <c r="P111" s="94"/>
      <c r="Q111" s="94"/>
      <c r="R111" s="94"/>
      <c r="S111" s="94"/>
      <c r="T111" s="94"/>
      <c r="U111" s="94"/>
      <c r="V111" s="94"/>
      <c r="W111" s="94"/>
      <c r="X111" s="94"/>
      <c r="Y111" s="94"/>
      <c r="Z111" s="94"/>
    </row>
    <row r="112">
      <c r="A112" s="179" t="s">
        <v>98</v>
      </c>
      <c r="F112" s="19"/>
      <c r="G112" s="94"/>
      <c r="H112" s="304" t="s">
        <v>98</v>
      </c>
      <c r="I112" s="27"/>
      <c r="J112" s="27"/>
      <c r="K112" s="27"/>
      <c r="L112" s="27"/>
      <c r="M112" s="28"/>
      <c r="N112" s="94"/>
      <c r="O112" s="94"/>
      <c r="P112" s="94"/>
      <c r="Q112" s="94"/>
      <c r="R112" s="94"/>
      <c r="S112" s="94"/>
      <c r="T112" s="94"/>
      <c r="U112" s="94"/>
      <c r="V112" s="94"/>
      <c r="W112" s="94"/>
      <c r="X112" s="94"/>
      <c r="Y112" s="94"/>
      <c r="Z112" s="94"/>
    </row>
    <row r="113">
      <c r="A113" s="103" t="str">
        <f>HYPERLINK("https://www.youtube.com/watch?v=rmxOkkd2hUk","1. SHOULDER PRESS")</f>
        <v>1. SHOULDER PRESS</v>
      </c>
      <c r="B113" s="4"/>
      <c r="C113" s="4"/>
      <c r="D113" s="4"/>
      <c r="E113" s="4"/>
      <c r="F113" s="48"/>
      <c r="G113" s="305"/>
      <c r="H113" s="306" t="str">
        <f>HYPERLINK("https://www.youtube.com/watch?v=-cSBPE-y38M","1.MACHINE SHOULDER PRESS")</f>
        <v>1.MACHINE SHOULDER PRESS</v>
      </c>
      <c r="I113" s="44"/>
      <c r="J113" s="44"/>
      <c r="K113" s="44"/>
      <c r="L113" s="44"/>
      <c r="M113" s="45"/>
      <c r="N113" s="307"/>
      <c r="O113" s="94"/>
      <c r="P113" s="94"/>
      <c r="Q113" s="94"/>
      <c r="R113" s="94"/>
      <c r="S113" s="94"/>
      <c r="T113" s="94"/>
      <c r="U113" s="94"/>
      <c r="V113" s="94"/>
      <c r="W113" s="94"/>
      <c r="X113" s="94"/>
      <c r="Y113" s="94"/>
      <c r="Z113" s="94"/>
    </row>
    <row r="114">
      <c r="A114" s="193" t="s">
        <v>86</v>
      </c>
      <c r="B114" s="194">
        <v>100.0</v>
      </c>
      <c r="C114" s="11"/>
      <c r="D114" s="11"/>
      <c r="E114" s="11"/>
      <c r="F114" s="86"/>
      <c r="G114" s="94"/>
      <c r="H114" s="87" t="s">
        <v>18</v>
      </c>
      <c r="I114" s="88" t="s">
        <v>19</v>
      </c>
      <c r="J114" s="88" t="s">
        <v>20</v>
      </c>
      <c r="K114" s="88" t="s">
        <v>21</v>
      </c>
      <c r="L114" s="308" t="s">
        <v>22</v>
      </c>
      <c r="M114" s="202" t="s">
        <v>23</v>
      </c>
      <c r="N114" s="307"/>
      <c r="O114" s="94"/>
      <c r="P114" s="94"/>
      <c r="Q114" s="94"/>
      <c r="R114" s="94"/>
      <c r="S114" s="94"/>
      <c r="T114" s="94"/>
      <c r="U114" s="94"/>
      <c r="V114" s="94"/>
      <c r="W114" s="94"/>
      <c r="X114" s="94"/>
      <c r="Y114" s="94"/>
      <c r="Z114" s="94"/>
    </row>
    <row r="115">
      <c r="A115" s="198" t="s">
        <v>18</v>
      </c>
      <c r="B115" s="199" t="s">
        <v>19</v>
      </c>
      <c r="C115" s="199" t="s">
        <v>20</v>
      </c>
      <c r="D115" s="199" t="s">
        <v>21</v>
      </c>
      <c r="E115" s="200" t="s">
        <v>22</v>
      </c>
      <c r="F115" s="52" t="s">
        <v>23</v>
      </c>
      <c r="G115" s="201"/>
      <c r="H115" s="309">
        <v>1.0</v>
      </c>
      <c r="I115" s="310">
        <f>MROUND('Copy of DETERMINING MAX WEEK 1'!E167*0.5,10)</f>
        <v>40</v>
      </c>
      <c r="J115" s="311">
        <v>10.0</v>
      </c>
      <c r="K115" s="312" t="s">
        <v>89</v>
      </c>
      <c r="L115" s="313"/>
      <c r="M115" s="76"/>
      <c r="N115" s="314"/>
      <c r="O115" s="201"/>
      <c r="P115" s="201"/>
      <c r="Q115" s="201"/>
      <c r="R115" s="201"/>
      <c r="S115" s="201"/>
      <c r="T115" s="201"/>
      <c r="U115" s="201"/>
      <c r="V115" s="201"/>
      <c r="W115" s="201"/>
      <c r="X115" s="201"/>
      <c r="Y115" s="201"/>
      <c r="Z115" s="201"/>
    </row>
    <row r="116">
      <c r="A116" s="203">
        <v>1.0</v>
      </c>
      <c r="B116" s="204" t="str">
        <f>mround('WEEK 1 '!B114*0.35,5)</f>
        <v>#REF!</v>
      </c>
      <c r="C116" s="204">
        <v>6.0</v>
      </c>
      <c r="D116" s="205" t="s">
        <v>87</v>
      </c>
      <c r="E116" s="57"/>
      <c r="F116" s="58"/>
      <c r="G116" s="206"/>
      <c r="H116" s="309">
        <v>2.0</v>
      </c>
      <c r="I116" s="315">
        <f t="shared" ref="I116:I117" si="1">mround(I115+20,5)</f>
        <v>60</v>
      </c>
      <c r="J116" s="311">
        <v>10.0</v>
      </c>
      <c r="K116" s="312" t="s">
        <v>89</v>
      </c>
      <c r="L116" s="313"/>
      <c r="M116" s="76"/>
      <c r="N116" s="316"/>
      <c r="O116" s="206"/>
      <c r="P116" s="206"/>
      <c r="Q116" s="206"/>
      <c r="R116" s="206"/>
      <c r="S116" s="206"/>
      <c r="T116" s="206"/>
      <c r="U116" s="206"/>
      <c r="V116" s="206"/>
      <c r="W116" s="206"/>
      <c r="X116" s="206"/>
      <c r="Y116" s="206"/>
      <c r="Z116" s="206"/>
    </row>
    <row r="117">
      <c r="A117" s="203">
        <v>2.0</v>
      </c>
      <c r="B117" s="204" t="str">
        <f>mround('WEEK 1 '!B114*0.65,5)</f>
        <v>#REF!</v>
      </c>
      <c r="C117" s="204">
        <v>1.0</v>
      </c>
      <c r="D117" s="205" t="s">
        <v>88</v>
      </c>
      <c r="E117" s="57"/>
      <c r="F117" s="58"/>
      <c r="G117" s="206"/>
      <c r="H117" s="309">
        <v>3.0</v>
      </c>
      <c r="I117" s="315">
        <f t="shared" si="1"/>
        <v>80</v>
      </c>
      <c r="J117" s="311">
        <v>10.0</v>
      </c>
      <c r="K117" s="312" t="s">
        <v>89</v>
      </c>
      <c r="L117" s="313"/>
      <c r="M117" s="76"/>
      <c r="N117" s="316"/>
      <c r="O117" s="206"/>
      <c r="P117" s="206"/>
      <c r="Q117" s="206"/>
      <c r="R117" s="206"/>
      <c r="S117" s="206"/>
      <c r="T117" s="206"/>
      <c r="U117" s="206"/>
      <c r="V117" s="206"/>
      <c r="W117" s="206"/>
      <c r="X117" s="206"/>
      <c r="Y117" s="206"/>
      <c r="Z117" s="206"/>
    </row>
    <row r="118">
      <c r="A118" s="209">
        <v>3.0</v>
      </c>
      <c r="B118" s="204" t="str">
        <f>mround('WEEK 1 '!B114*0.9,5)</f>
        <v>#REF!</v>
      </c>
      <c r="C118" s="73">
        <v>1.0</v>
      </c>
      <c r="D118" s="205" t="s">
        <v>88</v>
      </c>
      <c r="E118" s="57"/>
      <c r="F118" s="58"/>
      <c r="G118" s="206"/>
      <c r="H118" s="309">
        <v>4.0</v>
      </c>
      <c r="I118" s="315">
        <f t="shared" ref="I118:I119" si="2">mround(I117+10,5)</f>
        <v>90</v>
      </c>
      <c r="J118" s="311">
        <v>10.0</v>
      </c>
      <c r="K118" s="312" t="s">
        <v>89</v>
      </c>
      <c r="L118" s="313"/>
      <c r="M118" s="76"/>
      <c r="N118" s="316"/>
      <c r="O118" s="206"/>
      <c r="P118" s="206"/>
      <c r="Q118" s="206"/>
      <c r="R118" s="206"/>
      <c r="S118" s="206"/>
      <c r="T118" s="206"/>
      <c r="U118" s="206"/>
      <c r="V118" s="206"/>
      <c r="W118" s="206"/>
      <c r="X118" s="206"/>
      <c r="Y118" s="206"/>
      <c r="Z118" s="206"/>
    </row>
    <row r="119">
      <c r="A119" s="210">
        <v>4.0</v>
      </c>
      <c r="B119" s="204" t="str">
        <f>'WEEK 1 '!B114</f>
        <v>#REF!</v>
      </c>
      <c r="C119" s="224">
        <v>1.0</v>
      </c>
      <c r="D119" s="205" t="s">
        <v>89</v>
      </c>
      <c r="E119" s="57"/>
      <c r="F119" s="58"/>
      <c r="G119" s="94"/>
      <c r="H119" s="309">
        <v>5.0</v>
      </c>
      <c r="I119" s="315">
        <f t="shared" si="2"/>
        <v>100</v>
      </c>
      <c r="J119" s="311">
        <v>10.0</v>
      </c>
      <c r="K119" s="312" t="s">
        <v>89</v>
      </c>
      <c r="L119" s="313"/>
      <c r="M119" s="76"/>
      <c r="N119" s="307"/>
      <c r="O119" s="94"/>
      <c r="P119" s="94"/>
      <c r="Q119" s="94"/>
      <c r="R119" s="94"/>
      <c r="S119" s="94"/>
      <c r="T119" s="94"/>
      <c r="U119" s="94"/>
      <c r="V119" s="94"/>
      <c r="W119" s="94"/>
      <c r="X119" s="94"/>
      <c r="Y119" s="94"/>
      <c r="Z119" s="94"/>
    </row>
    <row r="120">
      <c r="A120" s="213" t="str">
        <f>IF('WEEK 1 '!F119&lt;1,"PROCEED TO DOWN SETS","NEW 4 REP MAX ATTEMPT")</f>
        <v>#REF!</v>
      </c>
      <c r="B120" s="11"/>
      <c r="C120" s="11"/>
      <c r="D120" s="11"/>
      <c r="E120" s="11"/>
      <c r="F120" s="86"/>
      <c r="G120" s="206"/>
      <c r="H120" s="309">
        <v>6.0</v>
      </c>
      <c r="I120" s="317">
        <f>I119+10</f>
        <v>110</v>
      </c>
      <c r="J120" s="311">
        <v>10.0</v>
      </c>
      <c r="K120" s="312" t="s">
        <v>89</v>
      </c>
      <c r="L120" s="318"/>
      <c r="M120" s="76"/>
      <c r="N120" s="316"/>
      <c r="O120" s="206"/>
      <c r="P120" s="206"/>
      <c r="Q120" s="206"/>
      <c r="R120" s="206"/>
      <c r="S120" s="206"/>
      <c r="T120" s="206"/>
      <c r="U120" s="206"/>
      <c r="V120" s="206"/>
      <c r="W120" s="206"/>
      <c r="X120" s="206"/>
      <c r="Y120" s="206"/>
      <c r="Z120" s="206"/>
    </row>
    <row r="121">
      <c r="A121" s="216" t="str">
        <f>IF(OR(ISBLANK('WEEK 1 '!F119),ISBLANK('WEEK 1 '!F118),ISBLANK('WEEK 1 '!F117)), "",if('WEEK 1 '!F119&lt;1,"",5))</f>
        <v>#REF!</v>
      </c>
      <c r="B121" s="142" t="str">
        <f>IF('WEEK 1 '!F119&lt;1,"",'WEEK 1 '!B119+5)</f>
        <v>#REF!</v>
      </c>
      <c r="C121" s="205" t="str">
        <f>if('WEEK 1 '!F119&lt;1,"",4)</f>
        <v>#REF!</v>
      </c>
      <c r="D121" s="205" t="str">
        <f>if('WEEK 1 '!F119&lt;1,"","1-5 MIN")</f>
        <v>#REF!</v>
      </c>
      <c r="E121" s="217"/>
      <c r="F121" s="58"/>
      <c r="G121" s="243"/>
      <c r="H121" s="319">
        <v>7.0</v>
      </c>
      <c r="I121" s="320">
        <f>mround(I120+10,5)</f>
        <v>120</v>
      </c>
      <c r="J121" s="321">
        <v>10.0</v>
      </c>
      <c r="K121" s="322" t="s">
        <v>89</v>
      </c>
      <c r="L121" s="323"/>
      <c r="M121" s="76"/>
      <c r="N121" s="307"/>
      <c r="O121" s="94"/>
      <c r="P121" s="94"/>
      <c r="Q121" s="94"/>
      <c r="R121" s="94"/>
      <c r="S121" s="94"/>
      <c r="T121" s="94"/>
      <c r="U121" s="94"/>
      <c r="V121" s="94"/>
      <c r="W121" s="94"/>
      <c r="X121" s="94"/>
      <c r="Y121" s="94"/>
      <c r="Z121" s="94"/>
    </row>
    <row r="122">
      <c r="A122" s="226" t="str">
        <f>IF(OR(ISBLANK('WEEK 1 '!F118),ISBLANK('WEEK 1 '!F119),ISBLANK('WEEK 1 '!F121)), "",IF('WEEK 1 '!F121&lt;4,"","6"))</f>
        <v>#REF!</v>
      </c>
      <c r="B122" s="204" t="str">
        <f>IF(OR(ISBLANK('WEEK 1 '!F118),ISBLANK('WEEK 1 '!F119),ISBLANK('WEEK 1 '!F121)), "",IF('WEEK 1 '!F121&lt;4,"",'WEEK 1 '!B121+5))</f>
        <v>#REF!</v>
      </c>
      <c r="C122" s="224" t="str">
        <f>IF(OR(ISBLANK('WEEK 1 '!F118),ISBLANK('WEEK 1 '!F119),ISBLANK('WEEK 1 '!F121)), "",IF('WEEK 1 '!F121&lt;4,"","4"))</f>
        <v>#REF!</v>
      </c>
      <c r="D122" s="224" t="str">
        <f>IF(OR(ISBLANK('WEEK 1 '!F118),ISBLANK('WEEK 1 '!F119),ISBLANK('WEEK 1 '!F121)), "",IF('WEEK 1 '!F121&lt;4,"","1-5 MIN"))</f>
        <v>#REF!</v>
      </c>
      <c r="E122" s="225"/>
      <c r="F122" s="58"/>
      <c r="G122" s="206"/>
      <c r="H122" s="324" t="s">
        <v>99</v>
      </c>
      <c r="I122" s="325"/>
      <c r="J122" s="27"/>
      <c r="K122" s="27"/>
      <c r="L122" s="27"/>
      <c r="M122" s="28"/>
      <c r="N122" s="316"/>
      <c r="O122" s="206"/>
      <c r="P122" s="206"/>
      <c r="Q122" s="206"/>
      <c r="R122" s="206"/>
      <c r="S122" s="206"/>
      <c r="T122" s="206"/>
      <c r="U122" s="206"/>
      <c r="V122" s="206"/>
      <c r="W122" s="206"/>
      <c r="X122" s="206"/>
      <c r="Y122" s="206"/>
      <c r="Z122" s="206"/>
    </row>
    <row r="123">
      <c r="A123" s="213" t="s">
        <v>100</v>
      </c>
      <c r="B123" s="11"/>
      <c r="C123" s="11"/>
      <c r="D123" s="11"/>
      <c r="E123" s="11"/>
      <c r="F123" s="86"/>
      <c r="G123" s="206"/>
      <c r="H123" s="206"/>
      <c r="I123" s="316"/>
      <c r="J123" s="316"/>
      <c r="K123" s="316"/>
      <c r="L123" s="326"/>
      <c r="M123" s="316"/>
      <c r="N123" s="316"/>
      <c r="O123" s="206"/>
      <c r="P123" s="206"/>
      <c r="Q123" s="206"/>
      <c r="R123" s="206"/>
      <c r="S123" s="206"/>
      <c r="T123" s="206"/>
      <c r="U123" s="206"/>
      <c r="V123" s="206"/>
      <c r="W123" s="206"/>
      <c r="X123" s="206"/>
      <c r="Y123" s="206"/>
      <c r="Z123" s="206"/>
    </row>
    <row r="124">
      <c r="A124" s="231" t="str">
        <f>IF(OR(ISBLANK('WEEK 1 '!F119),ISBLANK('WEEK 1 '!F118),ISBLANK('WEEK 1 '!F117)),"",IF((AND(A121="",A122="")),5,IF((AND(A121&gt;1,A122="")),6,7)))</f>
        <v>#REF!</v>
      </c>
      <c r="B124" s="232" t="str">
        <f>MROUND('WEEK 1 '!B126*0.9,5)</f>
        <v>#REF!</v>
      </c>
      <c r="C124" s="233" t="s">
        <v>33</v>
      </c>
      <c r="D124" s="234" t="s">
        <v>94</v>
      </c>
      <c r="E124" s="235"/>
      <c r="F124" s="58"/>
      <c r="G124" s="206"/>
      <c r="H124" s="206"/>
      <c r="I124" s="316"/>
      <c r="J124" s="316"/>
      <c r="K124" s="316"/>
      <c r="L124" s="326"/>
      <c r="M124" s="316"/>
      <c r="N124" s="316"/>
      <c r="O124" s="206"/>
      <c r="P124" s="206"/>
      <c r="Q124" s="206"/>
      <c r="R124" s="206"/>
      <c r="S124" s="206"/>
      <c r="T124" s="206"/>
      <c r="U124" s="206"/>
      <c r="V124" s="206"/>
      <c r="W124" s="206"/>
      <c r="X124" s="206"/>
      <c r="Y124" s="206"/>
      <c r="Z124" s="206"/>
    </row>
    <row r="125">
      <c r="A125" s="210" t="str">
        <f>IF(OR(ISBLANK('WEEK 1 '!F119),ISBLANK('WEEK 1 '!F118),ISBLANK('WEEK 1 '!F117)),"",IF((AND(A121="",A122="")),6,IF((AND(A121&gt;1,A122="")),7,8)))</f>
        <v>#REF!</v>
      </c>
      <c r="B125" s="204" t="str">
        <f>mround('WEEK 1 '!B126*0.78,5)</f>
        <v>#REF!</v>
      </c>
      <c r="C125" s="212" t="s">
        <v>33</v>
      </c>
      <c r="D125" s="56" t="s">
        <v>94</v>
      </c>
      <c r="E125" s="225"/>
      <c r="F125" s="238"/>
      <c r="G125" s="94"/>
      <c r="H125" s="94"/>
      <c r="I125" s="307"/>
      <c r="J125" s="307"/>
      <c r="K125" s="307"/>
      <c r="L125" s="270"/>
      <c r="M125" s="307"/>
      <c r="N125" s="307"/>
      <c r="O125" s="94"/>
      <c r="P125" s="94"/>
      <c r="Q125" s="94"/>
      <c r="R125" s="94"/>
      <c r="S125" s="94"/>
      <c r="T125" s="94"/>
      <c r="U125" s="94"/>
      <c r="V125" s="94"/>
      <c r="W125" s="94"/>
      <c r="X125" s="94"/>
      <c r="Y125" s="94"/>
      <c r="Z125" s="94"/>
    </row>
    <row r="126">
      <c r="A126" s="239" t="s">
        <v>91</v>
      </c>
      <c r="B126" s="240" t="str">
        <f>IF(OR(ISBLANK('WEEK 1 '!F119),ISBLANK('WEEK 1 '!F118),ISBLANK('WEEK 1 '!F117)),"",IF('WEEK 1 '!F122&gt;=1,'WEEK 1 '!B122,IF('WEEK 1 '!F121&gt;=4,'WEEK 1 '!B121,IF('WEEK 1 '!F119&lt;1,'WEEK 1 '!B119-5,'WEEK 1 '!B119))))</f>
        <v>#REF!</v>
      </c>
      <c r="C126" s="2"/>
      <c r="D126" s="2"/>
      <c r="E126" s="2"/>
      <c r="F126" s="37"/>
      <c r="G126" s="94"/>
      <c r="H126" s="94"/>
      <c r="I126" s="94"/>
      <c r="J126" s="94"/>
      <c r="K126" s="94"/>
      <c r="L126" s="189"/>
      <c r="M126" s="94"/>
      <c r="N126" s="94"/>
      <c r="O126" s="94"/>
      <c r="P126" s="94"/>
      <c r="Q126" s="94"/>
      <c r="R126" s="94"/>
      <c r="S126" s="94"/>
      <c r="T126" s="94"/>
      <c r="U126" s="94"/>
      <c r="V126" s="94"/>
      <c r="W126" s="94"/>
      <c r="X126" s="94"/>
      <c r="Y126" s="94"/>
      <c r="Z126" s="94"/>
    </row>
    <row r="127">
      <c r="A127" s="244"/>
      <c r="B127" s="244"/>
      <c r="C127" s="244"/>
      <c r="D127" s="244"/>
      <c r="E127" s="327"/>
      <c r="F127" s="94"/>
      <c r="G127" s="94"/>
      <c r="H127" s="94"/>
      <c r="I127" s="94"/>
      <c r="J127" s="94"/>
      <c r="K127" s="94"/>
      <c r="L127" s="189"/>
      <c r="M127" s="94"/>
      <c r="N127" s="94"/>
      <c r="O127" s="94"/>
      <c r="P127" s="94"/>
      <c r="Q127" s="94"/>
      <c r="R127" s="94"/>
      <c r="S127" s="94"/>
      <c r="T127" s="94"/>
      <c r="U127" s="94"/>
      <c r="V127" s="94"/>
      <c r="W127" s="94"/>
      <c r="X127" s="94"/>
      <c r="Y127" s="94"/>
      <c r="Z127" s="94"/>
    </row>
    <row r="128">
      <c r="A128" s="328" t="str">
        <f>HYPERLINK("https://www.youtube.com/watch?v=gxWVN6F_uxo","2. CABLE HIGH PULLEY ROW")</f>
        <v>2. CABLE HIGH PULLEY ROW</v>
      </c>
      <c r="B128" s="44"/>
      <c r="C128" s="44"/>
      <c r="D128" s="44"/>
      <c r="E128" s="44"/>
      <c r="F128" s="45"/>
      <c r="G128" s="94"/>
      <c r="H128" s="65" t="str">
        <f>HYPERLINK("https://youtu.be/0BaHgGyCFJY","2. MACHINE REAR DELT FLYS ")</f>
        <v>2. MACHINE REAR DELT FLYS </v>
      </c>
      <c r="I128" s="44"/>
      <c r="J128" s="44"/>
      <c r="K128" s="44"/>
      <c r="L128" s="44"/>
      <c r="M128" s="45"/>
      <c r="N128" s="94"/>
      <c r="O128" s="94"/>
      <c r="P128" s="94"/>
      <c r="Q128" s="94"/>
      <c r="R128" s="94"/>
      <c r="S128" s="94"/>
      <c r="T128" s="94"/>
      <c r="U128" s="94"/>
      <c r="V128" s="94"/>
      <c r="W128" s="94"/>
      <c r="X128" s="94"/>
      <c r="Y128" s="94"/>
      <c r="Z128" s="94"/>
    </row>
    <row r="129">
      <c r="A129" s="193" t="s">
        <v>101</v>
      </c>
      <c r="B129" s="81" t="str">
        <f>B126</f>
        <v>#REF!</v>
      </c>
      <c r="C129" s="4"/>
      <c r="D129" s="4"/>
      <c r="E129" s="4"/>
      <c r="F129" s="48"/>
      <c r="G129" s="291" t="s">
        <v>90</v>
      </c>
      <c r="H129" s="329" t="s">
        <v>86</v>
      </c>
      <c r="I129" s="330" t="str">
        <f>B126</f>
        <v>#REF!</v>
      </c>
      <c r="J129" s="11"/>
      <c r="K129" s="11"/>
      <c r="L129" s="11"/>
      <c r="M129" s="86"/>
      <c r="N129" s="94"/>
      <c r="O129" s="94"/>
      <c r="P129" s="94"/>
      <c r="Q129" s="94"/>
      <c r="R129" s="94"/>
      <c r="S129" s="94"/>
      <c r="T129" s="94"/>
      <c r="U129" s="94"/>
      <c r="V129" s="94"/>
      <c r="W129" s="94"/>
      <c r="X129" s="94"/>
      <c r="Y129" s="94"/>
      <c r="Z129" s="94"/>
    </row>
    <row r="130">
      <c r="A130" s="68" t="s">
        <v>18</v>
      </c>
      <c r="B130" s="69" t="s">
        <v>19</v>
      </c>
      <c r="C130" s="69" t="s">
        <v>20</v>
      </c>
      <c r="D130" s="69" t="s">
        <v>21</v>
      </c>
      <c r="E130" s="71" t="s">
        <v>22</v>
      </c>
      <c r="F130" s="202" t="s">
        <v>23</v>
      </c>
      <c r="H130" s="331" t="s">
        <v>18</v>
      </c>
      <c r="I130" s="332" t="s">
        <v>19</v>
      </c>
      <c r="J130" s="332" t="s">
        <v>20</v>
      </c>
      <c r="K130" s="333" t="s">
        <v>21</v>
      </c>
      <c r="L130" s="334" t="s">
        <v>22</v>
      </c>
      <c r="M130" s="52" t="s">
        <v>23</v>
      </c>
      <c r="N130" s="201"/>
      <c r="O130" s="201"/>
      <c r="P130" s="201"/>
      <c r="Q130" s="201"/>
      <c r="R130" s="201"/>
      <c r="S130" s="201"/>
      <c r="T130" s="201"/>
      <c r="U130" s="201"/>
      <c r="V130" s="201"/>
      <c r="W130" s="201"/>
      <c r="X130" s="201"/>
      <c r="Y130" s="201"/>
      <c r="Z130" s="201"/>
    </row>
    <row r="131">
      <c r="A131" s="72">
        <v>1.0</v>
      </c>
      <c r="B131" s="73" t="str">
        <f> mround('WEEK 1 '!B129*2*0.7,5)</f>
        <v>#REF!</v>
      </c>
      <c r="C131" s="284">
        <v>15.0</v>
      </c>
      <c r="D131" s="74" t="s">
        <v>94</v>
      </c>
      <c r="E131" s="75" t="str">
        <f t="shared" ref="E131:E133" si="3">IF('WEEK 1 '!B131=B131,'WEEK 1 '!F131,"")</f>
        <v>#REF!</v>
      </c>
      <c r="F131" s="76"/>
      <c r="G131" s="206"/>
      <c r="H131" s="209">
        <v>1.0</v>
      </c>
      <c r="I131" s="204" t="str">
        <f>mround('WEEK 1 '!I129*2*0.75,5)</f>
        <v>#REF!</v>
      </c>
      <c r="J131" s="335">
        <v>20.0</v>
      </c>
      <c r="K131" s="205" t="s">
        <v>25</v>
      </c>
      <c r="L131" s="336"/>
      <c r="M131" s="58"/>
      <c r="N131" s="206"/>
      <c r="O131" s="206"/>
      <c r="P131" s="206"/>
      <c r="Q131" s="206"/>
      <c r="R131" s="206"/>
      <c r="S131" s="206"/>
      <c r="T131" s="206"/>
      <c r="U131" s="206"/>
      <c r="V131" s="206"/>
      <c r="W131" s="206"/>
      <c r="X131" s="206"/>
      <c r="Y131" s="206"/>
      <c r="Z131" s="206"/>
    </row>
    <row r="132">
      <c r="A132" s="72">
        <v>2.0</v>
      </c>
      <c r="B132" s="73" t="str">
        <f>if('WEEK 1 '!F131&lt;10,mround('WEEK 1 '!B131*0.8,5),IF('WEEK 1 '!F131&lt;=14,MROUND('WEEK 1 '!B131*0.95,5),'WEEK 1 '!B131))</f>
        <v>#REF!</v>
      </c>
      <c r="C132" s="56">
        <v>15.0</v>
      </c>
      <c r="D132" s="74" t="s">
        <v>94</v>
      </c>
      <c r="E132" s="75" t="str">
        <f t="shared" si="3"/>
        <v>#REF!</v>
      </c>
      <c r="F132" s="76"/>
      <c r="G132" s="206"/>
      <c r="H132" s="209">
        <v>2.0</v>
      </c>
      <c r="I132" s="204" t="str">
        <f>if('WEEK 1 '!M131&lt;15,mround(I129*0.65,5),I131)</f>
        <v>#REF!</v>
      </c>
      <c r="J132" s="335">
        <v>20.0</v>
      </c>
      <c r="K132" s="205" t="s">
        <v>25</v>
      </c>
      <c r="L132" s="336"/>
      <c r="M132" s="58"/>
      <c r="N132" s="206"/>
      <c r="O132" s="206"/>
      <c r="P132" s="206"/>
      <c r="Q132" s="206"/>
      <c r="R132" s="206"/>
      <c r="S132" s="206"/>
      <c r="T132" s="206"/>
      <c r="U132" s="206"/>
      <c r="V132" s="206"/>
      <c r="W132" s="206"/>
      <c r="X132" s="206"/>
      <c r="Y132" s="206"/>
      <c r="Z132" s="206"/>
    </row>
    <row r="133">
      <c r="A133" s="77">
        <v>3.0</v>
      </c>
      <c r="B133" s="78" t="str">
        <f>if('WEEK 1 '!F132&lt;8,mround('WEEK 1 '!B132*0.8,5),IF('WEEK 1 '!F132&lt;=14,MROUND('WEEK 1 '!B132*0.95,5),'WEEK 1 '!B132))</f>
        <v>#REF!</v>
      </c>
      <c r="C133" s="62">
        <v>15.0</v>
      </c>
      <c r="D133" s="79" t="s">
        <v>94</v>
      </c>
      <c r="E133" s="80" t="str">
        <f t="shared" si="3"/>
        <v>#REF!</v>
      </c>
      <c r="F133" s="76"/>
      <c r="G133" s="337"/>
      <c r="H133" s="256">
        <v>3.0</v>
      </c>
      <c r="I133" s="338" t="str">
        <f>if('WEEK 1 '!M132&lt;15,mround('WEEK 1 '!I132*0.7,5),MROUND('WEEK 1 '!I132,5))</f>
        <v>#REF!</v>
      </c>
      <c r="J133" s="339">
        <v>20.0</v>
      </c>
      <c r="K133" s="340" t="s">
        <v>25</v>
      </c>
      <c r="L133" s="341"/>
      <c r="M133" s="58"/>
      <c r="N133" s="206"/>
      <c r="O133" s="206"/>
      <c r="P133" s="206"/>
      <c r="Q133" s="206"/>
      <c r="R133" s="206"/>
      <c r="S133" s="206"/>
      <c r="T133" s="206"/>
      <c r="U133" s="206"/>
      <c r="V133" s="206"/>
      <c r="W133" s="206"/>
      <c r="X133" s="206"/>
      <c r="Y133" s="206"/>
      <c r="Z133" s="206"/>
    </row>
    <row r="134">
      <c r="A134" s="307"/>
      <c r="B134" s="307"/>
      <c r="C134" s="307"/>
      <c r="D134" s="307"/>
      <c r="E134" s="270"/>
      <c r="F134" s="94"/>
      <c r="G134" s="94"/>
      <c r="H134" s="94"/>
      <c r="I134" s="94"/>
      <c r="J134" s="94"/>
      <c r="K134" s="94"/>
      <c r="L134" s="189"/>
      <c r="M134" s="94"/>
      <c r="N134" s="94"/>
      <c r="O134" s="94"/>
      <c r="P134" s="94"/>
      <c r="Q134" s="94"/>
      <c r="R134" s="94"/>
      <c r="S134" s="94"/>
      <c r="T134" s="94"/>
      <c r="U134" s="94"/>
      <c r="V134" s="94"/>
      <c r="W134" s="94"/>
      <c r="X134" s="94"/>
      <c r="Y134" s="94"/>
      <c r="Z134" s="94"/>
    </row>
    <row r="135">
      <c r="A135" s="307"/>
      <c r="B135" s="307"/>
      <c r="C135" s="307"/>
      <c r="D135" s="307"/>
      <c r="E135" s="270"/>
      <c r="F135" s="94"/>
      <c r="G135" s="94"/>
      <c r="H135" s="94"/>
      <c r="I135" s="94"/>
      <c r="J135" s="94"/>
      <c r="K135" s="94"/>
      <c r="L135" s="189"/>
      <c r="M135" s="94"/>
      <c r="N135" s="94"/>
      <c r="O135" s="94"/>
      <c r="P135" s="94"/>
      <c r="Q135" s="94"/>
      <c r="R135" s="94"/>
      <c r="S135" s="94"/>
      <c r="T135" s="94"/>
      <c r="U135" s="94"/>
      <c r="V135" s="94"/>
      <c r="W135" s="94"/>
      <c r="X135" s="94"/>
      <c r="Y135" s="94"/>
      <c r="Z135" s="94"/>
    </row>
    <row r="136">
      <c r="A136" s="65" t="str">
        <f>HYPERLINK("https://youtu.be/jat-iMMa0ac","3. DUMBBELL SIDE LATERAL RAISE")</f>
        <v>3. DUMBBELL SIDE LATERAL RAISE</v>
      </c>
      <c r="B136" s="44"/>
      <c r="C136" s="44"/>
      <c r="D136" s="44"/>
      <c r="E136" s="44"/>
      <c r="F136" s="45"/>
      <c r="G136" s="248"/>
      <c r="H136" s="342"/>
      <c r="I136" s="244"/>
      <c r="J136" s="94"/>
      <c r="K136" s="94"/>
      <c r="L136" s="189"/>
      <c r="M136" s="94"/>
      <c r="N136" s="94"/>
      <c r="O136" s="94"/>
      <c r="P136" s="94"/>
      <c r="Q136" s="94"/>
      <c r="R136" s="94"/>
      <c r="S136" s="94"/>
      <c r="T136" s="94"/>
      <c r="U136" s="94"/>
      <c r="V136" s="94"/>
      <c r="W136" s="94"/>
      <c r="X136" s="94"/>
      <c r="Y136" s="94"/>
      <c r="Z136" s="94"/>
    </row>
    <row r="137">
      <c r="A137" s="193" t="s">
        <v>101</v>
      </c>
      <c r="B137" s="81" t="str">
        <f>B126</f>
        <v>#REF!</v>
      </c>
      <c r="C137" s="4"/>
      <c r="D137" s="4"/>
      <c r="E137" s="4"/>
      <c r="F137" s="48"/>
      <c r="G137" s="248"/>
      <c r="H137" s="244"/>
      <c r="I137" s="248"/>
      <c r="J137" s="94"/>
      <c r="K137" s="94"/>
      <c r="L137" s="189"/>
      <c r="M137" s="94"/>
      <c r="N137" s="94"/>
      <c r="O137" s="94"/>
      <c r="P137" s="94"/>
      <c r="Q137" s="94"/>
      <c r="R137" s="94"/>
      <c r="S137" s="94"/>
      <c r="T137" s="94"/>
      <c r="U137" s="94"/>
      <c r="V137" s="94"/>
      <c r="W137" s="94"/>
      <c r="X137" s="94"/>
      <c r="Y137" s="94"/>
      <c r="Z137" s="94"/>
    </row>
    <row r="138">
      <c r="A138" s="343" t="s">
        <v>18</v>
      </c>
      <c r="B138" s="70" t="s">
        <v>19</v>
      </c>
      <c r="C138" s="70" t="s">
        <v>20</v>
      </c>
      <c r="D138" s="70" t="s">
        <v>21</v>
      </c>
      <c r="E138" s="89" t="s">
        <v>22</v>
      </c>
      <c r="F138" s="344" t="s">
        <v>23</v>
      </c>
      <c r="G138" s="243"/>
      <c r="H138" s="94"/>
      <c r="I138" s="94"/>
      <c r="J138" s="94"/>
      <c r="K138" s="94"/>
      <c r="L138" s="189"/>
      <c r="M138" s="94"/>
      <c r="N138" s="94"/>
      <c r="O138" s="94"/>
      <c r="P138" s="94"/>
      <c r="Q138" s="94"/>
      <c r="R138" s="94"/>
      <c r="S138" s="94"/>
      <c r="T138" s="94"/>
      <c r="U138" s="94"/>
      <c r="V138" s="94"/>
      <c r="W138" s="94"/>
      <c r="X138" s="94"/>
      <c r="Y138" s="94"/>
      <c r="Z138" s="94"/>
    </row>
    <row r="139">
      <c r="A139" s="72">
        <v>1.0</v>
      </c>
      <c r="B139" s="73" t="str">
        <f> mround('WEEK 1 '!B137*0.2,5)</f>
        <v>#REF!</v>
      </c>
      <c r="C139" s="56">
        <v>20.0</v>
      </c>
      <c r="D139" s="74" t="s">
        <v>25</v>
      </c>
      <c r="E139" s="345"/>
      <c r="F139" s="297"/>
      <c r="G139" s="243"/>
      <c r="H139" s="94"/>
      <c r="I139" s="94"/>
      <c r="J139" s="94"/>
      <c r="K139" s="94"/>
      <c r="L139" s="189"/>
      <c r="M139" s="94"/>
      <c r="N139" s="94"/>
      <c r="O139" s="94"/>
      <c r="P139" s="94"/>
      <c r="Q139" s="94"/>
      <c r="R139" s="94"/>
      <c r="S139" s="94"/>
      <c r="T139" s="94"/>
      <c r="U139" s="94"/>
      <c r="V139" s="94"/>
      <c r="W139" s="94"/>
      <c r="X139" s="94"/>
      <c r="Y139" s="94"/>
      <c r="Z139" s="94"/>
    </row>
    <row r="140">
      <c r="A140" s="72">
        <v>2.0</v>
      </c>
      <c r="B140" s="73" t="str">
        <f>if('WEEK 1 '!F139&lt;12,mround('WEEK 1 '!B137*0.15,2.5),'WEEK 1 '!B139)</f>
        <v>#REF!</v>
      </c>
      <c r="C140" s="56">
        <v>20.0</v>
      </c>
      <c r="D140" s="74" t="s">
        <v>25</v>
      </c>
      <c r="E140" s="345"/>
      <c r="F140" s="297"/>
      <c r="G140" s="94"/>
      <c r="H140" s="94"/>
      <c r="I140" s="94"/>
      <c r="J140" s="94"/>
      <c r="K140" s="94"/>
      <c r="L140" s="189"/>
      <c r="M140" s="94"/>
      <c r="N140" s="94"/>
      <c r="O140" s="94"/>
      <c r="P140" s="94"/>
      <c r="Q140" s="94"/>
      <c r="R140" s="94"/>
      <c r="S140" s="94"/>
      <c r="T140" s="94"/>
      <c r="U140" s="94"/>
      <c r="V140" s="94"/>
      <c r="W140" s="94"/>
      <c r="X140" s="94"/>
      <c r="Y140" s="94"/>
      <c r="Z140" s="94"/>
    </row>
    <row r="141">
      <c r="A141" s="77">
        <v>3.0</v>
      </c>
      <c r="B141" s="78" t="str">
        <f>if('WEEK 1 '!F140&lt;12,mround('WEEK 1 '!B137*0.1,2.5),'WEEK 1 '!B140)</f>
        <v>#REF!</v>
      </c>
      <c r="C141" s="62">
        <v>20.0</v>
      </c>
      <c r="D141" s="79" t="s">
        <v>25</v>
      </c>
      <c r="E141" s="346"/>
      <c r="F141" s="76"/>
      <c r="G141" s="94"/>
      <c r="H141" s="94"/>
      <c r="I141" s="94"/>
      <c r="J141" s="94"/>
      <c r="K141" s="94"/>
      <c r="L141" s="189"/>
      <c r="M141" s="94"/>
      <c r="N141" s="94"/>
      <c r="O141" s="94"/>
      <c r="P141" s="94"/>
      <c r="Q141" s="94"/>
      <c r="R141" s="94"/>
      <c r="S141" s="94"/>
      <c r="T141" s="94"/>
      <c r="U141" s="94"/>
      <c r="V141" s="94"/>
      <c r="W141" s="94"/>
      <c r="X141" s="94"/>
      <c r="Y141" s="94"/>
      <c r="Z141" s="94"/>
    </row>
    <row r="142">
      <c r="A142" s="307"/>
      <c r="B142" s="307"/>
      <c r="C142" s="307"/>
      <c r="D142" s="307"/>
      <c r="E142" s="270"/>
      <c r="F142" s="94"/>
      <c r="G142" s="94"/>
      <c r="H142" s="94"/>
      <c r="I142" s="94"/>
      <c r="J142" s="94"/>
      <c r="K142" s="94"/>
      <c r="L142" s="189"/>
      <c r="M142" s="94"/>
      <c r="N142" s="94"/>
      <c r="O142" s="94"/>
      <c r="P142" s="94"/>
      <c r="Q142" s="94"/>
      <c r="R142" s="94"/>
      <c r="S142" s="94"/>
      <c r="T142" s="94"/>
      <c r="U142" s="94"/>
      <c r="V142" s="94"/>
      <c r="W142" s="94"/>
      <c r="X142" s="94"/>
      <c r="Y142" s="94"/>
      <c r="Z142" s="94"/>
    </row>
    <row r="143">
      <c r="A143" s="307"/>
      <c r="B143" s="307"/>
      <c r="C143" s="307"/>
      <c r="D143" s="307"/>
      <c r="E143" s="270"/>
      <c r="F143" s="94"/>
      <c r="G143" s="94"/>
      <c r="H143" s="94"/>
      <c r="I143" s="94"/>
      <c r="J143" s="94"/>
      <c r="K143" s="94"/>
      <c r="L143" s="189"/>
      <c r="M143" s="94"/>
      <c r="N143" s="94"/>
      <c r="O143" s="94"/>
      <c r="P143" s="94"/>
      <c r="Q143" s="94"/>
      <c r="R143" s="94"/>
      <c r="S143" s="94"/>
      <c r="T143" s="94"/>
      <c r="U143" s="94"/>
      <c r="V143" s="94"/>
      <c r="W143" s="94"/>
      <c r="X143" s="94"/>
      <c r="Y143" s="94"/>
      <c r="Z143" s="94"/>
    </row>
    <row r="144">
      <c r="A144" s="65" t="str">
        <f>HYPERLINK("https://www.youtube.com/watch?v=Yke__29qVfo","4. TRICEPS PUSHDOWN (STRAIGHT BAR)")</f>
        <v>4. TRICEPS PUSHDOWN (STRAIGHT BAR)</v>
      </c>
      <c r="B144" s="44"/>
      <c r="C144" s="44"/>
      <c r="D144" s="44"/>
      <c r="E144" s="44"/>
      <c r="F144" s="45"/>
      <c r="G144" s="347"/>
      <c r="H144" s="94"/>
      <c r="L144" s="348"/>
      <c r="O144" s="94"/>
      <c r="P144" s="94"/>
      <c r="Q144" s="94"/>
      <c r="R144" s="94"/>
      <c r="S144" s="94"/>
      <c r="T144" s="94"/>
      <c r="U144" s="94"/>
      <c r="V144" s="94"/>
      <c r="W144" s="94"/>
      <c r="X144" s="94"/>
      <c r="Y144" s="94"/>
      <c r="Z144" s="94"/>
    </row>
    <row r="145">
      <c r="A145" s="349" t="s">
        <v>86</v>
      </c>
      <c r="B145" s="350">
        <v>100.0</v>
      </c>
      <c r="C145" s="11"/>
      <c r="D145" s="11"/>
      <c r="E145" s="11"/>
      <c r="F145" s="86"/>
      <c r="G145" s="94"/>
      <c r="H145" s="94"/>
      <c r="L145" s="348"/>
      <c r="O145" s="94"/>
      <c r="P145" s="94"/>
      <c r="Q145" s="94"/>
      <c r="R145" s="94"/>
      <c r="S145" s="94"/>
      <c r="T145" s="94"/>
      <c r="U145" s="94"/>
      <c r="V145" s="94"/>
      <c r="W145" s="94"/>
      <c r="X145" s="94"/>
      <c r="Y145" s="94"/>
      <c r="Z145" s="94"/>
    </row>
    <row r="146">
      <c r="A146" s="351" t="s">
        <v>18</v>
      </c>
      <c r="B146" s="352" t="s">
        <v>19</v>
      </c>
      <c r="C146" s="352" t="s">
        <v>20</v>
      </c>
      <c r="D146" s="352" t="s">
        <v>21</v>
      </c>
      <c r="E146" s="353" t="s">
        <v>22</v>
      </c>
      <c r="F146" s="354" t="s">
        <v>23</v>
      </c>
      <c r="G146" s="201"/>
      <c r="H146" s="201"/>
      <c r="O146" s="201"/>
      <c r="P146" s="201"/>
      <c r="Q146" s="201"/>
      <c r="R146" s="201"/>
      <c r="S146" s="201"/>
      <c r="T146" s="201"/>
      <c r="U146" s="201"/>
      <c r="V146" s="201"/>
      <c r="W146" s="201"/>
      <c r="X146" s="201"/>
      <c r="Y146" s="201"/>
      <c r="Z146" s="201"/>
    </row>
    <row r="147">
      <c r="A147" s="355">
        <v>1.0</v>
      </c>
      <c r="B147" s="356">
        <f>B145</f>
        <v>100</v>
      </c>
      <c r="C147" s="357">
        <v>20.0</v>
      </c>
      <c r="D147" s="358" t="s">
        <v>26</v>
      </c>
      <c r="E147" s="359"/>
      <c r="F147" s="360"/>
      <c r="G147" s="206"/>
      <c r="H147" s="206"/>
      <c r="O147" s="206"/>
      <c r="P147" s="206"/>
      <c r="Q147" s="206"/>
      <c r="R147" s="206"/>
      <c r="S147" s="206"/>
      <c r="T147" s="206"/>
      <c r="U147" s="206"/>
      <c r="V147" s="206"/>
      <c r="W147" s="206"/>
      <c r="X147" s="206"/>
      <c r="Y147" s="206"/>
      <c r="Z147" s="206"/>
    </row>
    <row r="148">
      <c r="A148" s="361">
        <v>2.0</v>
      </c>
      <c r="B148" s="356" t="str">
        <f>if('WEEK 1 '!F147&lt;10,mround('WEEK 1 '!B147*0.8,5),IF('WEEK 1 '!F147&lt;=14,MROUND('WEEK 1 '!B145*0.95,5),'WEEK 1 '!B147))</f>
        <v>#REF!</v>
      </c>
      <c r="C148" s="357">
        <v>20.0</v>
      </c>
      <c r="D148" s="358" t="s">
        <v>26</v>
      </c>
      <c r="E148" s="359"/>
      <c r="F148" s="360"/>
      <c r="G148" s="206"/>
      <c r="H148" s="206"/>
      <c r="O148" s="206"/>
      <c r="P148" s="206"/>
      <c r="Q148" s="206"/>
      <c r="R148" s="206"/>
      <c r="S148" s="206"/>
      <c r="T148" s="206"/>
      <c r="U148" s="206"/>
      <c r="V148" s="206"/>
      <c r="W148" s="206"/>
      <c r="X148" s="206"/>
      <c r="Y148" s="206"/>
      <c r="Z148" s="206"/>
    </row>
    <row r="149">
      <c r="A149" s="362">
        <v>3.0</v>
      </c>
      <c r="B149" s="363" t="str">
        <f>if('WEEK 1 '!F148&lt;10,mround('WEEK 1 '!B148*0.8,5),IF('WEEK 1 '!F148&lt;=14,MROUND('WEEK 1 '!B148*0.95,5),'WEEK 1 '!B148))</f>
        <v>#REF!</v>
      </c>
      <c r="C149" s="364">
        <v>20.0</v>
      </c>
      <c r="D149" s="365" t="s">
        <v>26</v>
      </c>
      <c r="E149" s="366"/>
      <c r="F149" s="360"/>
      <c r="G149" s="206"/>
      <c r="H149" s="206"/>
      <c r="O149" s="206"/>
      <c r="P149" s="206"/>
      <c r="Q149" s="206"/>
      <c r="R149" s="206"/>
      <c r="S149" s="206"/>
      <c r="T149" s="206"/>
      <c r="U149" s="206"/>
      <c r="V149" s="206"/>
      <c r="W149" s="206"/>
      <c r="X149" s="206"/>
      <c r="Y149" s="206"/>
      <c r="Z149" s="206"/>
    </row>
    <row r="150">
      <c r="G150" s="206"/>
      <c r="H150" s="206"/>
      <c r="I150" s="206"/>
      <c r="J150" s="206"/>
      <c r="K150" s="206"/>
      <c r="L150" s="289"/>
      <c r="M150" s="206"/>
      <c r="N150" s="206"/>
      <c r="O150" s="206"/>
      <c r="P150" s="206"/>
      <c r="Q150" s="206"/>
      <c r="R150" s="206"/>
      <c r="S150" s="206"/>
      <c r="T150" s="206"/>
      <c r="U150" s="206"/>
      <c r="V150" s="206"/>
      <c r="W150" s="206"/>
      <c r="X150" s="206"/>
      <c r="Y150" s="206"/>
      <c r="Z150" s="206"/>
    </row>
    <row r="151">
      <c r="G151" s="94"/>
      <c r="H151" s="94"/>
      <c r="I151" s="94"/>
      <c r="J151" s="94"/>
      <c r="K151" s="94"/>
      <c r="L151" s="189"/>
      <c r="M151" s="94"/>
      <c r="N151" s="94"/>
      <c r="O151" s="94"/>
      <c r="P151" s="94"/>
      <c r="Q151" s="94"/>
      <c r="R151" s="94"/>
      <c r="S151" s="94"/>
      <c r="T151" s="94"/>
      <c r="U151" s="94"/>
      <c r="V151" s="94"/>
      <c r="W151" s="94"/>
      <c r="X151" s="94"/>
      <c r="Y151" s="94"/>
      <c r="Z151" s="94"/>
    </row>
    <row r="152">
      <c r="A152" s="367" t="str">
        <f>HYPERLINK("https://www.youtube.com/watch?v=9IqvmIhFxtY","5. BICEP CABLE CURLS")</f>
        <v>5. BICEP CABLE CURLS</v>
      </c>
      <c r="B152" s="16"/>
      <c r="C152" s="16"/>
      <c r="D152" s="16"/>
      <c r="E152" s="16"/>
      <c r="F152" s="17"/>
      <c r="G152" s="94"/>
      <c r="H152" s="367" t="str">
        <f>HYPERLINK("https://www.youtube.com/watch?v=Bi6Do6QIlpQ","5. BICEP BAR CURLS")</f>
        <v>5. BICEP BAR CURLS</v>
      </c>
      <c r="I152" s="16"/>
      <c r="J152" s="16"/>
      <c r="K152" s="16"/>
      <c r="L152" s="16"/>
      <c r="M152" s="17"/>
      <c r="N152" s="94"/>
      <c r="O152" s="94"/>
      <c r="P152" s="94"/>
      <c r="Q152" s="94"/>
      <c r="R152" s="94"/>
      <c r="S152" s="94"/>
      <c r="T152" s="94"/>
      <c r="U152" s="94"/>
      <c r="V152" s="94"/>
      <c r="W152" s="94"/>
      <c r="X152" s="94"/>
      <c r="Y152" s="94"/>
      <c r="Z152" s="94"/>
    </row>
    <row r="153">
      <c r="A153" s="302" t="str">
        <f>HYPERLINK("https://www.youtube.com/watch?v=4fvXV8SIEm8","WATCH THIS BEFORE MACHINE CURL")</f>
        <v>WATCH THIS BEFORE MACHINE CURL</v>
      </c>
      <c r="B153" s="16"/>
      <c r="C153" s="16"/>
      <c r="D153" s="16"/>
      <c r="E153" s="16"/>
      <c r="F153" s="17"/>
      <c r="G153" s="94"/>
      <c r="H153" s="302" t="str">
        <f>HYPERLINK("https://www.youtube.com/watch?v=4fvXV8SIEm8","WATCH THIS BEFORE MACHINE CURL")</f>
        <v>WATCH THIS BEFORE MACHINE CURL</v>
      </c>
      <c r="I153" s="16"/>
      <c r="J153" s="16"/>
      <c r="K153" s="16"/>
      <c r="L153" s="16"/>
      <c r="M153" s="17"/>
      <c r="N153" s="94"/>
      <c r="O153" s="94"/>
      <c r="P153" s="94"/>
      <c r="Q153" s="94"/>
      <c r="R153" s="94"/>
      <c r="S153" s="94"/>
      <c r="T153" s="94"/>
      <c r="U153" s="94"/>
      <c r="V153" s="94"/>
      <c r="W153" s="94"/>
      <c r="X153" s="94"/>
      <c r="Y153" s="94"/>
      <c r="Z153" s="94"/>
    </row>
    <row r="154">
      <c r="A154" s="303"/>
      <c r="B154" s="2"/>
      <c r="C154" s="2"/>
      <c r="D154" s="2"/>
      <c r="E154" s="2"/>
      <c r="F154" s="37"/>
      <c r="G154" s="94"/>
      <c r="H154" s="303"/>
      <c r="I154" s="2"/>
      <c r="J154" s="2"/>
      <c r="K154" s="2"/>
      <c r="L154" s="2"/>
      <c r="M154" s="37"/>
      <c r="N154" s="94"/>
      <c r="O154" s="94"/>
      <c r="P154" s="94"/>
      <c r="Q154" s="94"/>
      <c r="R154" s="94"/>
      <c r="S154" s="94"/>
      <c r="T154" s="94"/>
      <c r="U154" s="94"/>
      <c r="V154" s="94"/>
      <c r="W154" s="94"/>
      <c r="X154" s="94"/>
      <c r="Y154" s="94"/>
      <c r="Z154" s="94"/>
    </row>
    <row r="155">
      <c r="A155" s="368" t="s">
        <v>18</v>
      </c>
      <c r="B155" s="369" t="s">
        <v>19</v>
      </c>
      <c r="C155" s="369" t="s">
        <v>20</v>
      </c>
      <c r="D155" s="370" t="s">
        <v>21</v>
      </c>
      <c r="E155" s="371" t="s">
        <v>22</v>
      </c>
      <c r="F155" s="133" t="s">
        <v>23</v>
      </c>
      <c r="G155" s="94"/>
      <c r="H155" s="368" t="s">
        <v>18</v>
      </c>
      <c r="I155" s="369" t="s">
        <v>19</v>
      </c>
      <c r="J155" s="369" t="s">
        <v>20</v>
      </c>
      <c r="K155" s="370" t="s">
        <v>21</v>
      </c>
      <c r="L155" s="371" t="s">
        <v>22</v>
      </c>
      <c r="M155" s="133" t="s">
        <v>23</v>
      </c>
      <c r="N155" s="94"/>
      <c r="O155" s="94"/>
      <c r="P155" s="94"/>
      <c r="Q155" s="94"/>
      <c r="R155" s="94"/>
      <c r="S155" s="94"/>
      <c r="T155" s="94"/>
      <c r="U155" s="94"/>
      <c r="V155" s="94"/>
      <c r="W155" s="94"/>
      <c r="X155" s="94"/>
      <c r="Y155" s="94"/>
      <c r="Z155" s="94"/>
    </row>
    <row r="156">
      <c r="A156" s="372">
        <v>1.0</v>
      </c>
      <c r="B156" s="158">
        <v>15.0</v>
      </c>
      <c r="C156" s="138">
        <v>10.0</v>
      </c>
      <c r="D156" s="373" t="s">
        <v>55</v>
      </c>
      <c r="E156" s="374"/>
      <c r="F156" s="375"/>
      <c r="G156" s="201"/>
      <c r="H156" s="372">
        <v>1.0</v>
      </c>
      <c r="I156" s="158">
        <v>25.0</v>
      </c>
      <c r="J156" s="138">
        <v>4.0</v>
      </c>
      <c r="K156" s="373" t="s">
        <v>55</v>
      </c>
      <c r="L156" s="374"/>
      <c r="M156" s="375"/>
      <c r="N156" s="201"/>
      <c r="O156" s="201"/>
      <c r="P156" s="201"/>
      <c r="Q156" s="201"/>
      <c r="R156" s="201"/>
      <c r="S156" s="201"/>
      <c r="T156" s="201"/>
      <c r="U156" s="201"/>
      <c r="V156" s="201"/>
      <c r="W156" s="201"/>
      <c r="X156" s="201"/>
      <c r="Y156" s="201"/>
      <c r="Z156" s="201"/>
    </row>
    <row r="157">
      <c r="A157" s="372">
        <v>2.0</v>
      </c>
      <c r="B157" s="158">
        <v>25.0</v>
      </c>
      <c r="C157" s="138">
        <v>10.0</v>
      </c>
      <c r="D157" s="373" t="s">
        <v>55</v>
      </c>
      <c r="E157" s="374"/>
      <c r="F157" s="375"/>
      <c r="G157" s="206"/>
      <c r="H157" s="372">
        <v>2.0</v>
      </c>
      <c r="I157" s="158">
        <v>45.0</v>
      </c>
      <c r="J157" s="138">
        <v>4.0</v>
      </c>
      <c r="K157" s="373" t="s">
        <v>55</v>
      </c>
      <c r="L157" s="374"/>
      <c r="M157" s="375"/>
      <c r="N157" s="206"/>
      <c r="O157" s="206"/>
      <c r="P157" s="206"/>
      <c r="Q157" s="206"/>
      <c r="R157" s="206"/>
      <c r="S157" s="206"/>
      <c r="T157" s="206"/>
      <c r="U157" s="206"/>
      <c r="V157" s="206"/>
      <c r="W157" s="206"/>
      <c r="X157" s="206"/>
      <c r="Y157" s="206"/>
      <c r="Z157" s="206"/>
    </row>
    <row r="158">
      <c r="A158" s="372">
        <v>3.0</v>
      </c>
      <c r="B158" s="158">
        <v>45.0</v>
      </c>
      <c r="C158" s="138">
        <v>10.0</v>
      </c>
      <c r="D158" s="373" t="s">
        <v>55</v>
      </c>
      <c r="E158" s="374"/>
      <c r="F158" s="375"/>
      <c r="G158" s="94"/>
      <c r="H158" s="372">
        <v>3.0</v>
      </c>
      <c r="I158" s="158">
        <v>60.0</v>
      </c>
      <c r="J158" s="138">
        <v>4.0</v>
      </c>
      <c r="K158" s="373" t="s">
        <v>55</v>
      </c>
      <c r="L158" s="374"/>
      <c r="M158" s="375"/>
      <c r="N158" s="94"/>
      <c r="O158" s="94"/>
      <c r="P158" s="94"/>
      <c r="Q158" s="94"/>
      <c r="R158" s="94"/>
      <c r="S158" s="94"/>
      <c r="T158" s="94"/>
      <c r="U158" s="94"/>
      <c r="V158" s="94"/>
      <c r="W158" s="94"/>
      <c r="X158" s="94"/>
      <c r="Y158" s="94"/>
      <c r="Z158" s="94"/>
    </row>
    <row r="159">
      <c r="A159" s="372">
        <v>4.0</v>
      </c>
      <c r="B159" s="158">
        <v>60.0</v>
      </c>
      <c r="C159" s="138">
        <v>10.0</v>
      </c>
      <c r="D159" s="373" t="s">
        <v>55</v>
      </c>
      <c r="E159" s="374"/>
      <c r="F159" s="375"/>
      <c r="G159" s="206"/>
      <c r="H159" s="372">
        <v>4.0</v>
      </c>
      <c r="I159" s="158">
        <v>70.0</v>
      </c>
      <c r="J159" s="138">
        <v>4.0</v>
      </c>
      <c r="K159" s="373" t="s">
        <v>55</v>
      </c>
      <c r="L159" s="374"/>
      <c r="M159" s="375"/>
      <c r="N159" s="206"/>
      <c r="O159" s="206"/>
      <c r="P159" s="206"/>
      <c r="Q159" s="206"/>
      <c r="R159" s="206"/>
      <c r="S159" s="206"/>
      <c r="T159" s="206"/>
      <c r="U159" s="206"/>
      <c r="V159" s="206"/>
      <c r="W159" s="206"/>
      <c r="X159" s="206"/>
      <c r="Y159" s="206"/>
      <c r="Z159" s="206"/>
    </row>
    <row r="160">
      <c r="A160" s="372">
        <v>5.0</v>
      </c>
      <c r="B160" s="158">
        <v>70.0</v>
      </c>
      <c r="C160" s="138">
        <v>10.0</v>
      </c>
      <c r="D160" s="373" t="s">
        <v>55</v>
      </c>
      <c r="E160" s="374"/>
      <c r="F160" s="375"/>
      <c r="G160" s="94"/>
      <c r="H160" s="372">
        <v>5.0</v>
      </c>
      <c r="I160" s="158">
        <v>85.0</v>
      </c>
      <c r="J160" s="138">
        <v>4.0</v>
      </c>
      <c r="K160" s="373" t="s">
        <v>55</v>
      </c>
      <c r="L160" s="374"/>
      <c r="M160" s="375"/>
      <c r="N160" s="94"/>
      <c r="O160" s="94"/>
      <c r="P160" s="94"/>
      <c r="Q160" s="94"/>
      <c r="R160" s="94"/>
      <c r="S160" s="94"/>
      <c r="T160" s="94"/>
      <c r="U160" s="94"/>
      <c r="V160" s="94"/>
      <c r="W160" s="94"/>
      <c r="X160" s="94"/>
      <c r="Y160" s="94"/>
      <c r="Z160" s="94"/>
    </row>
    <row r="161">
      <c r="A161" s="372">
        <v>6.0</v>
      </c>
      <c r="B161" s="158">
        <v>85.0</v>
      </c>
      <c r="C161" s="138">
        <v>10.0</v>
      </c>
      <c r="D161" s="373" t="s">
        <v>55</v>
      </c>
      <c r="E161" s="374"/>
      <c r="F161" s="375"/>
      <c r="G161" s="206"/>
      <c r="H161" s="372">
        <v>6.0</v>
      </c>
      <c r="I161" s="158">
        <v>95.0</v>
      </c>
      <c r="J161" s="138">
        <v>4.0</v>
      </c>
      <c r="K161" s="373" t="s">
        <v>55</v>
      </c>
      <c r="L161" s="374"/>
      <c r="M161" s="375"/>
      <c r="N161" s="206"/>
      <c r="O161" s="206"/>
      <c r="P161" s="206"/>
      <c r="Q161" s="206"/>
      <c r="R161" s="206"/>
      <c r="S161" s="206"/>
      <c r="T161" s="206"/>
      <c r="U161" s="206"/>
      <c r="V161" s="206"/>
      <c r="W161" s="206"/>
      <c r="X161" s="206"/>
      <c r="Y161" s="206"/>
      <c r="Z161" s="206"/>
    </row>
    <row r="162">
      <c r="A162" s="372">
        <v>7.0</v>
      </c>
      <c r="B162" s="158">
        <v>95.0</v>
      </c>
      <c r="C162" s="138">
        <v>10.0</v>
      </c>
      <c r="D162" s="373" t="s">
        <v>55</v>
      </c>
      <c r="E162" s="374"/>
      <c r="F162" s="375"/>
      <c r="G162" s="206"/>
      <c r="H162" s="372">
        <v>7.0</v>
      </c>
      <c r="I162" s="158">
        <v>110.0</v>
      </c>
      <c r="J162" s="138">
        <v>4.0</v>
      </c>
      <c r="K162" s="373" t="s">
        <v>55</v>
      </c>
      <c r="L162" s="374"/>
      <c r="M162" s="375"/>
      <c r="N162" s="206"/>
      <c r="O162" s="206"/>
      <c r="P162" s="206"/>
      <c r="Q162" s="206"/>
      <c r="R162" s="206"/>
      <c r="S162" s="206"/>
      <c r="T162" s="206"/>
      <c r="U162" s="206"/>
      <c r="V162" s="206"/>
      <c r="W162" s="206"/>
      <c r="X162" s="206"/>
      <c r="Y162" s="206"/>
      <c r="Z162" s="206"/>
    </row>
    <row r="163">
      <c r="A163" s="372">
        <v>8.0</v>
      </c>
      <c r="B163" s="158">
        <v>110.0</v>
      </c>
      <c r="C163" s="138">
        <v>10.0</v>
      </c>
      <c r="D163" s="373" t="s">
        <v>55</v>
      </c>
      <c r="E163" s="374"/>
      <c r="F163" s="375"/>
      <c r="G163" s="94"/>
      <c r="H163" s="372">
        <v>8.0</v>
      </c>
      <c r="I163" s="158">
        <v>120.0</v>
      </c>
      <c r="J163" s="138">
        <v>4.0</v>
      </c>
      <c r="K163" s="373" t="s">
        <v>55</v>
      </c>
      <c r="L163" s="374"/>
      <c r="M163" s="375"/>
      <c r="N163" s="94"/>
      <c r="O163" s="94"/>
      <c r="P163" s="94"/>
      <c r="Q163" s="94"/>
      <c r="R163" s="94"/>
      <c r="S163" s="94"/>
      <c r="T163" s="94"/>
      <c r="U163" s="94"/>
      <c r="V163" s="94"/>
      <c r="W163" s="94"/>
      <c r="X163" s="94"/>
      <c r="Y163" s="94"/>
      <c r="Z163" s="94"/>
    </row>
    <row r="164">
      <c r="A164" s="372">
        <v>9.0</v>
      </c>
      <c r="B164" s="158">
        <v>120.0</v>
      </c>
      <c r="C164" s="138">
        <v>10.0</v>
      </c>
      <c r="D164" s="373" t="s">
        <v>55</v>
      </c>
      <c r="E164" s="374"/>
      <c r="F164" s="375"/>
      <c r="G164" s="94"/>
      <c r="H164" s="372">
        <v>9.0</v>
      </c>
      <c r="I164" s="158">
        <v>130.0</v>
      </c>
      <c r="J164" s="138">
        <v>4.0</v>
      </c>
      <c r="K164" s="373" t="s">
        <v>55</v>
      </c>
      <c r="L164" s="374"/>
      <c r="M164" s="375"/>
      <c r="N164" s="94"/>
      <c r="O164" s="94"/>
      <c r="P164" s="94"/>
      <c r="Q164" s="94"/>
      <c r="R164" s="94"/>
      <c r="S164" s="94"/>
      <c r="T164" s="94"/>
      <c r="U164" s="94"/>
      <c r="V164" s="94"/>
      <c r="W164" s="94"/>
      <c r="X164" s="94"/>
      <c r="Y164" s="94"/>
      <c r="Z164" s="94"/>
    </row>
    <row r="165">
      <c r="A165" s="372">
        <v>10.0</v>
      </c>
      <c r="B165" s="376">
        <v>130.0</v>
      </c>
      <c r="C165" s="377">
        <v>10.0</v>
      </c>
      <c r="D165" s="378" t="s">
        <v>55</v>
      </c>
      <c r="E165" s="379"/>
      <c r="F165" s="375"/>
      <c r="G165" s="94"/>
      <c r="H165" s="372">
        <v>10.0</v>
      </c>
      <c r="I165" s="376">
        <v>140.0</v>
      </c>
      <c r="J165" s="377">
        <v>4.0</v>
      </c>
      <c r="K165" s="378" t="s">
        <v>55</v>
      </c>
      <c r="L165" s="379"/>
      <c r="M165" s="375"/>
      <c r="N165" s="94"/>
      <c r="O165" s="94"/>
      <c r="P165" s="94"/>
      <c r="Q165" s="94"/>
      <c r="R165" s="94"/>
      <c r="S165" s="94"/>
      <c r="T165" s="94"/>
      <c r="U165" s="94"/>
      <c r="V165" s="94"/>
      <c r="W165" s="94"/>
      <c r="X165" s="94"/>
      <c r="Y165" s="94"/>
      <c r="Z165" s="94"/>
    </row>
    <row r="166">
      <c r="A166" s="380" t="s">
        <v>99</v>
      </c>
      <c r="B166" s="32">
        <v>150.0</v>
      </c>
      <c r="C166" s="27"/>
      <c r="D166" s="27"/>
      <c r="E166" s="27"/>
      <c r="F166" s="28"/>
      <c r="G166" s="94"/>
      <c r="H166" s="380" t="s">
        <v>99</v>
      </c>
      <c r="I166" s="381"/>
      <c r="J166" s="27"/>
      <c r="K166" s="27"/>
      <c r="L166" s="27"/>
      <c r="M166" s="28"/>
      <c r="N166" s="94"/>
      <c r="O166" s="94"/>
      <c r="P166" s="94"/>
      <c r="Q166" s="94"/>
      <c r="R166" s="94"/>
      <c r="S166" s="94"/>
      <c r="T166" s="94"/>
      <c r="U166" s="94"/>
      <c r="V166" s="94"/>
      <c r="W166" s="94"/>
      <c r="X166" s="94"/>
      <c r="Y166" s="94"/>
      <c r="Z166" s="94"/>
    </row>
    <row r="167">
      <c r="A167" s="244"/>
      <c r="B167" s="244"/>
      <c r="C167" s="244"/>
      <c r="D167" s="244"/>
      <c r="E167" s="327"/>
      <c r="F167" s="244"/>
      <c r="G167" s="244"/>
      <c r="H167" s="382"/>
      <c r="I167" s="383"/>
      <c r="J167" s="383"/>
      <c r="K167" s="384"/>
      <c r="L167" s="385"/>
      <c r="M167" s="385"/>
      <c r="N167" s="244"/>
      <c r="O167" s="244"/>
      <c r="P167" s="244"/>
      <c r="Q167" s="244"/>
      <c r="R167" s="244"/>
      <c r="S167" s="244"/>
      <c r="T167" s="244"/>
      <c r="U167" s="244"/>
      <c r="V167" s="244"/>
      <c r="W167" s="244"/>
      <c r="X167" s="244"/>
      <c r="Y167" s="244"/>
      <c r="Z167" s="244"/>
    </row>
    <row r="168">
      <c r="A168" s="244"/>
      <c r="B168" s="244"/>
      <c r="C168" s="244"/>
      <c r="D168" s="244"/>
      <c r="E168" s="327"/>
      <c r="F168" s="244"/>
      <c r="G168" s="244"/>
      <c r="H168" s="382"/>
      <c r="I168" s="383"/>
      <c r="J168" s="383"/>
      <c r="K168" s="384"/>
      <c r="L168" s="385"/>
      <c r="M168" s="385"/>
      <c r="N168" s="244"/>
      <c r="O168" s="244"/>
      <c r="P168" s="244"/>
      <c r="Q168" s="244"/>
      <c r="R168" s="244"/>
      <c r="S168" s="244"/>
      <c r="T168" s="244"/>
      <c r="U168" s="244"/>
      <c r="V168" s="244"/>
      <c r="W168" s="244"/>
      <c r="X168" s="244"/>
      <c r="Y168" s="244"/>
      <c r="Z168" s="244"/>
    </row>
    <row r="169">
      <c r="A169" s="97" t="s">
        <v>102</v>
      </c>
      <c r="B169" s="27"/>
      <c r="C169" s="27"/>
      <c r="D169" s="27"/>
      <c r="E169" s="27"/>
      <c r="F169" s="28"/>
      <c r="G169" s="386"/>
      <c r="N169" s="386"/>
      <c r="O169" s="94"/>
      <c r="P169" s="94"/>
      <c r="Q169" s="94"/>
      <c r="R169" s="94"/>
      <c r="S169" s="94"/>
      <c r="T169" s="94"/>
      <c r="U169" s="94"/>
      <c r="V169" s="94"/>
      <c r="W169" s="94"/>
      <c r="X169" s="94"/>
      <c r="Y169" s="94"/>
      <c r="Z169" s="94"/>
    </row>
    <row r="170">
      <c r="A170" s="94"/>
      <c r="B170" s="94"/>
      <c r="C170" s="94"/>
      <c r="D170" s="94"/>
      <c r="E170" s="189"/>
      <c r="F170" s="94"/>
      <c r="G170" s="94"/>
      <c r="N170" s="94"/>
      <c r="O170" s="94"/>
      <c r="P170" s="94"/>
      <c r="Q170" s="94"/>
      <c r="R170" s="94"/>
      <c r="S170" s="94"/>
      <c r="T170" s="94"/>
      <c r="U170" s="94"/>
      <c r="V170" s="94"/>
      <c r="W170" s="94"/>
      <c r="X170" s="94"/>
      <c r="Y170" s="94"/>
      <c r="Z170" s="94"/>
    </row>
    <row r="171">
      <c r="A171" s="98" t="str">
        <f>HYPERLINK("https://www.amazon.com/30-Minute-Body-Investment-Champion/dp/0692791892/ref=sr_1_1?ie=UTF8&amp;qid=1490447969&amp;sr=8-1&amp;keywords=30+minute+body","WANT TO LEARN MORE?")</f>
        <v>WANT TO LEARN MORE?</v>
      </c>
      <c r="B171" s="27"/>
      <c r="C171" s="27"/>
      <c r="D171" s="27"/>
      <c r="E171" s="27"/>
      <c r="F171" s="28"/>
      <c r="G171" s="387"/>
      <c r="H171" s="388"/>
      <c r="I171" s="388"/>
      <c r="J171" s="388"/>
      <c r="K171" s="388"/>
      <c r="L171" s="189"/>
      <c r="M171" s="94"/>
      <c r="N171" s="94"/>
      <c r="O171" s="94"/>
      <c r="P171" s="94"/>
      <c r="Q171" s="94"/>
      <c r="R171" s="94"/>
      <c r="S171" s="94"/>
      <c r="T171" s="94"/>
      <c r="U171" s="94"/>
      <c r="V171" s="94"/>
      <c r="W171" s="94"/>
      <c r="X171" s="94"/>
      <c r="Y171" s="94"/>
      <c r="Z171" s="94"/>
    </row>
    <row r="172">
      <c r="A172" s="99"/>
      <c r="B172" s="387"/>
      <c r="C172" s="387"/>
      <c r="D172" s="387"/>
      <c r="E172" s="387"/>
      <c r="F172" s="387"/>
      <c r="G172" s="387"/>
      <c r="H172" s="388"/>
      <c r="I172" s="388"/>
      <c r="J172" s="388"/>
      <c r="K172" s="388"/>
      <c r="L172" s="189"/>
      <c r="M172" s="94"/>
      <c r="N172" s="94"/>
      <c r="O172" s="94"/>
      <c r="P172" s="94"/>
      <c r="Q172" s="94"/>
      <c r="R172" s="94"/>
      <c r="S172" s="94"/>
      <c r="T172" s="94"/>
      <c r="U172" s="94"/>
      <c r="V172" s="94"/>
      <c r="W172" s="94"/>
      <c r="X172" s="94"/>
      <c r="Y172" s="94"/>
      <c r="Z172" s="94"/>
    </row>
    <row r="173">
      <c r="A173" s="387"/>
      <c r="B173" s="389"/>
      <c r="C173" s="102" t="s">
        <v>35</v>
      </c>
      <c r="D173" s="27"/>
      <c r="E173" s="27"/>
      <c r="F173" s="28"/>
      <c r="G173" s="389"/>
      <c r="H173" s="388"/>
      <c r="I173" s="388"/>
      <c r="J173" s="388"/>
      <c r="K173" s="388"/>
      <c r="L173" s="189"/>
      <c r="M173" s="94"/>
      <c r="N173" s="94"/>
      <c r="O173" s="94"/>
      <c r="P173" s="94"/>
      <c r="Q173" s="94"/>
      <c r="R173" s="94"/>
      <c r="S173" s="94"/>
      <c r="T173" s="94"/>
      <c r="U173" s="94"/>
      <c r="V173" s="94"/>
      <c r="W173" s="94"/>
      <c r="X173" s="94"/>
      <c r="Y173" s="94"/>
      <c r="Z173" s="94"/>
    </row>
  </sheetData>
  <mergeCells count="89">
    <mergeCell ref="B58:F58"/>
    <mergeCell ref="G59:G60"/>
    <mergeCell ref="A65:F65"/>
    <mergeCell ref="B66:F66"/>
    <mergeCell ref="A72:F72"/>
    <mergeCell ref="A74:F74"/>
    <mergeCell ref="A76:F76"/>
    <mergeCell ref="A77:F77"/>
    <mergeCell ref="A83:F83"/>
    <mergeCell ref="B84:F84"/>
    <mergeCell ref="A92:F92"/>
    <mergeCell ref="B93:F93"/>
    <mergeCell ref="A100:F100"/>
    <mergeCell ref="B101:F101"/>
    <mergeCell ref="G103:G104"/>
    <mergeCell ref="A109:F109"/>
    <mergeCell ref="A110:F111"/>
    <mergeCell ref="A112:F112"/>
    <mergeCell ref="A113:F113"/>
    <mergeCell ref="B114:F114"/>
    <mergeCell ref="A120:F120"/>
    <mergeCell ref="B145:F145"/>
    <mergeCell ref="A152:F152"/>
    <mergeCell ref="A153:F154"/>
    <mergeCell ref="B166:F166"/>
    <mergeCell ref="A169:F169"/>
    <mergeCell ref="A171:F171"/>
    <mergeCell ref="C173:F173"/>
    <mergeCell ref="B126:F126"/>
    <mergeCell ref="A128:F128"/>
    <mergeCell ref="B129:F129"/>
    <mergeCell ref="G129:G130"/>
    <mergeCell ref="A136:F136"/>
    <mergeCell ref="B137:F137"/>
    <mergeCell ref="A144:F144"/>
    <mergeCell ref="A8:F8"/>
    <mergeCell ref="A9:F9"/>
    <mergeCell ref="H9:M9"/>
    <mergeCell ref="A10:F11"/>
    <mergeCell ref="H10:M10"/>
    <mergeCell ref="A12:F12"/>
    <mergeCell ref="A13:F13"/>
    <mergeCell ref="O18:T18"/>
    <mergeCell ref="O19:T19"/>
    <mergeCell ref="O26:T26"/>
    <mergeCell ref="O28:T28"/>
    <mergeCell ref="P33:T33"/>
    <mergeCell ref="A15:F15"/>
    <mergeCell ref="H15:M15"/>
    <mergeCell ref="O15:T15"/>
    <mergeCell ref="A18:F18"/>
    <mergeCell ref="H18:M18"/>
    <mergeCell ref="A19:F19"/>
    <mergeCell ref="B20:F20"/>
    <mergeCell ref="P20:T20"/>
    <mergeCell ref="H19:M19"/>
    <mergeCell ref="I20:M20"/>
    <mergeCell ref="A26:F26"/>
    <mergeCell ref="G26:G27"/>
    <mergeCell ref="H26:M26"/>
    <mergeCell ref="N26:N27"/>
    <mergeCell ref="H29:M29"/>
    <mergeCell ref="A29:F29"/>
    <mergeCell ref="B32:F32"/>
    <mergeCell ref="I32:M32"/>
    <mergeCell ref="A34:F34"/>
    <mergeCell ref="H34:M34"/>
    <mergeCell ref="G35:G36"/>
    <mergeCell ref="I35:M35"/>
    <mergeCell ref="B35:F35"/>
    <mergeCell ref="A41:F41"/>
    <mergeCell ref="B42:F42"/>
    <mergeCell ref="A48:F48"/>
    <mergeCell ref="A51:F51"/>
    <mergeCell ref="B54:F54"/>
    <mergeCell ref="A57:F57"/>
    <mergeCell ref="I122:M122"/>
    <mergeCell ref="H128:M128"/>
    <mergeCell ref="I129:M129"/>
    <mergeCell ref="H152:M152"/>
    <mergeCell ref="H153:M154"/>
    <mergeCell ref="I166:M166"/>
    <mergeCell ref="H100:M100"/>
    <mergeCell ref="I101:M101"/>
    <mergeCell ref="I106:M106"/>
    <mergeCell ref="H110:M111"/>
    <mergeCell ref="H112:M112"/>
    <mergeCell ref="H113:M113"/>
    <mergeCell ref="A123:F123"/>
  </mergeCells>
  <dataValidations>
    <dataValidation type="decimal" operator="greaterThanOrEqual" allowBlank="1" showDropDown="1" showErrorMessage="1" sqref="M1:M8 M12:M14 T1:T14 M16:M17 T16:T17 T21:T25 T27 T29:T32 M33 F94:F97 M39:M99 F102:F105 M102:M105 M107 M123:M127 F138:F141 M134:M143 M150:M151 F155 M155 E156:F165 L156:M165 L167:M168 M171:M173 T34:T173">
      <formula1>0.0</formula1>
    </dataValidation>
    <dataValidation type="decimal" allowBlank="1" showDropDown="1" showErrorMessage="1" sqref="F147 F149">
      <formula1>0.0</formula1>
      <formula2>500.0</formula2>
    </dataValidation>
    <dataValidation type="decimal" allowBlank="1" showDropDown="1" showInputMessage="1" showErrorMessage="1" prompt="Click and enter a value from range 0-500" sqref="H12">
      <formula1>1.0</formula1>
      <formula2>500.0</formula2>
    </dataValidation>
    <dataValidation type="decimal" operator="greaterThanOrEqual" allowBlank="1" showDropDown="1" sqref="F1:F7 F14 F16:F17 F21:F25 M21:M25 F27 M27 F30 M30 F33 M36:M38 F36:F40 F55:F56 F59:F64 F67:F71 F78:F82 F85:F91 F98:F99 F107:F108 F127 M130:M133 F134:F135 F142:F143 F167:F168 F170">
      <formula1>0.0</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2.5"/>
    <col customWidth="1" min="12" max="12" width="12.88"/>
  </cols>
  <sheetData>
    <row r="1">
      <c r="A1" s="390"/>
      <c r="G1" s="391"/>
      <c r="H1" s="391"/>
    </row>
    <row r="9">
      <c r="A9" s="392" t="s">
        <v>81</v>
      </c>
      <c r="B9" s="27"/>
      <c r="C9" s="27"/>
      <c r="D9" s="27"/>
      <c r="E9" s="27"/>
      <c r="F9" s="28"/>
      <c r="H9" s="15" t="s">
        <v>3</v>
      </c>
      <c r="I9" s="16"/>
      <c r="J9" s="16"/>
      <c r="K9" s="16"/>
      <c r="L9" s="16"/>
      <c r="M9" s="17"/>
      <c r="N9" s="391"/>
    </row>
    <row r="10">
      <c r="A10" s="393" t="str">
        <f>'Week 1 MASTER SHEET'!A10</f>
        <v>#REF!</v>
      </c>
      <c r="B10" s="16"/>
      <c r="C10" s="16"/>
      <c r="D10" s="16"/>
      <c r="E10" s="16"/>
      <c r="F10" s="17"/>
      <c r="H10" s="18" t="s">
        <v>107</v>
      </c>
      <c r="M10" s="19"/>
    </row>
    <row r="11">
      <c r="A11" s="303"/>
      <c r="B11" s="2"/>
      <c r="C11" s="2"/>
      <c r="D11" s="2"/>
      <c r="E11" s="2"/>
      <c r="F11" s="37"/>
      <c r="H11" s="20" t="s">
        <v>108</v>
      </c>
      <c r="I11" s="21"/>
      <c r="J11" s="21"/>
      <c r="K11" s="21"/>
      <c r="L11" s="21"/>
      <c r="M11" s="22"/>
    </row>
    <row r="12">
      <c r="A12" s="394" t="s">
        <v>37</v>
      </c>
      <c r="B12" s="2"/>
      <c r="C12" s="2"/>
      <c r="D12" s="2"/>
      <c r="E12" s="2"/>
      <c r="F12" s="37"/>
      <c r="G12" s="391" t="str">
        <f>'Week 1 MASTER SHEET'!H12</f>
        <v>#REF!</v>
      </c>
    </row>
    <row r="13">
      <c r="A13" s="395" t="s">
        <v>84</v>
      </c>
      <c r="B13" s="27"/>
      <c r="C13" s="27"/>
      <c r="D13" s="27"/>
      <c r="E13" s="27"/>
      <c r="F13" s="28"/>
    </row>
    <row r="14">
      <c r="A14" s="396" t="s">
        <v>109</v>
      </c>
    </row>
    <row r="15">
      <c r="A15" s="41" t="s">
        <v>15</v>
      </c>
      <c r="B15" s="27"/>
      <c r="C15" s="27"/>
      <c r="D15" s="27"/>
      <c r="E15" s="27"/>
      <c r="F15" s="28"/>
      <c r="G15" s="391"/>
      <c r="H15" s="397" t="s">
        <v>85</v>
      </c>
      <c r="I15" s="27"/>
      <c r="J15" s="27"/>
      <c r="K15" s="27"/>
      <c r="L15" s="27"/>
      <c r="M15" s="28"/>
      <c r="N15" s="391"/>
      <c r="O15" s="191" t="str">
        <f>'Week 1 MASTER SHEET'!O15</f>
        <v>#REF!</v>
      </c>
      <c r="P15" s="27"/>
      <c r="Q15" s="27"/>
      <c r="R15" s="27"/>
      <c r="S15" s="27"/>
      <c r="T15" s="28"/>
    </row>
    <row r="16">
      <c r="A16" s="398"/>
      <c r="H16" s="176"/>
      <c r="O16" s="176"/>
    </row>
    <row r="17">
      <c r="A17" s="399"/>
    </row>
    <row r="18">
      <c r="A18" s="400" t="s">
        <v>16</v>
      </c>
      <c r="B18" s="44"/>
      <c r="C18" s="44"/>
      <c r="D18" s="44"/>
      <c r="E18" s="44"/>
      <c r="F18" s="45"/>
      <c r="H18" s="401" t="str">
        <f t="shared" ref="H18:H32" si="1">'Week 1 MASTER SHEET'!H18</f>
        <v>#REF!</v>
      </c>
      <c r="I18" s="44"/>
      <c r="J18" s="44"/>
      <c r="K18" s="44"/>
      <c r="L18" s="44"/>
      <c r="M18" s="45"/>
      <c r="N18" s="391"/>
      <c r="O18" s="401" t="str">
        <f t="shared" ref="O18:O33" si="2">'Week 1 MASTER SHEET'!O18</f>
        <v>#REF!</v>
      </c>
      <c r="P18" s="44"/>
      <c r="Q18" s="44"/>
      <c r="R18" s="44"/>
      <c r="S18" s="44"/>
      <c r="T18" s="45"/>
    </row>
    <row r="19">
      <c r="A19" s="402" t="str">
        <f>HYPERLINK("https://www.youtube.com/watch?v=iLgUDezDMbU","1. BENCH PRESS")</f>
        <v>1. BENCH PRESS</v>
      </c>
      <c r="B19" s="11"/>
      <c r="C19" s="11"/>
      <c r="D19" s="11"/>
      <c r="E19" s="11"/>
      <c r="F19" s="86"/>
      <c r="G19" s="403" t="s">
        <v>90</v>
      </c>
      <c r="H19" s="404" t="str">
        <f t="shared" si="1"/>
        <v>#REF!</v>
      </c>
      <c r="I19" s="11"/>
      <c r="J19" s="11"/>
      <c r="K19" s="11"/>
      <c r="L19" s="11"/>
      <c r="M19" s="86"/>
      <c r="O19" s="405" t="str">
        <f t="shared" si="2"/>
        <v>#REF!</v>
      </c>
      <c r="P19" s="44"/>
      <c r="Q19" s="44"/>
      <c r="R19" s="44"/>
      <c r="S19" s="44"/>
      <c r="T19" s="45"/>
    </row>
    <row r="20">
      <c r="A20" s="193" t="s">
        <v>86</v>
      </c>
      <c r="B20" s="194">
        <v>100.0</v>
      </c>
      <c r="C20" s="11"/>
      <c r="D20" s="11"/>
      <c r="E20" s="11"/>
      <c r="F20" s="86"/>
      <c r="G20" s="406" t="s">
        <v>9</v>
      </c>
      <c r="H20" s="193" t="str">
        <f t="shared" si="1"/>
        <v>#REF!</v>
      </c>
      <c r="I20" s="194" t="str">
        <f>'DETERMINING MAX WEEK'!S31</f>
        <v>#REF!</v>
      </c>
      <c r="J20" s="11"/>
      <c r="K20" s="11"/>
      <c r="L20" s="11"/>
      <c r="M20" s="86"/>
      <c r="O20" s="195" t="str">
        <f t="shared" si="2"/>
        <v>#REF!</v>
      </c>
      <c r="P20" s="196">
        <v>75.0</v>
      </c>
      <c r="Q20" s="7"/>
      <c r="R20" s="7"/>
      <c r="S20" s="7"/>
      <c r="T20" s="197"/>
    </row>
    <row r="21">
      <c r="A21" s="198" t="s">
        <v>18</v>
      </c>
      <c r="B21" s="199" t="s">
        <v>19</v>
      </c>
      <c r="C21" s="199" t="s">
        <v>20</v>
      </c>
      <c r="D21" s="199" t="s">
        <v>21</v>
      </c>
      <c r="E21" s="200" t="s">
        <v>22</v>
      </c>
      <c r="F21" s="52" t="s">
        <v>23</v>
      </c>
      <c r="H21" s="198" t="str">
        <f t="shared" si="1"/>
        <v>#REF!</v>
      </c>
      <c r="I21" s="199" t="str">
        <f t="shared" ref="I21:L21" si="3">'Week 1 MASTER SHEET'!I21</f>
        <v>#REF!</v>
      </c>
      <c r="J21" s="199" t="str">
        <f t="shared" si="3"/>
        <v>#REF!</v>
      </c>
      <c r="K21" s="199" t="str">
        <f t="shared" si="3"/>
        <v>#REF!</v>
      </c>
      <c r="L21" s="200" t="str">
        <f t="shared" si="3"/>
        <v>#REF!</v>
      </c>
      <c r="M21" s="52" t="s">
        <v>23</v>
      </c>
      <c r="O21" s="87" t="str">
        <f t="shared" si="2"/>
        <v>#REF!</v>
      </c>
      <c r="P21" s="88" t="str">
        <f t="shared" ref="P21:S21" si="4">'Week 1 MASTER SHEET'!P21</f>
        <v>#REF!</v>
      </c>
      <c r="Q21" s="88" t="str">
        <f t="shared" si="4"/>
        <v>#REF!</v>
      </c>
      <c r="R21" s="88" t="str">
        <f t="shared" si="4"/>
        <v>#REF!</v>
      </c>
      <c r="S21" s="89" t="str">
        <f t="shared" si="4"/>
        <v>#REF!</v>
      </c>
      <c r="T21" s="52" t="s">
        <v>23</v>
      </c>
    </row>
    <row r="22">
      <c r="A22" s="203" t="str">
        <f t="shared" ref="A22:D22" si="5">'Week 1 MASTER SHEET'!A22</f>
        <v>#REF!</v>
      </c>
      <c r="B22" s="204" t="str">
        <f t="shared" si="5"/>
        <v>#REF!</v>
      </c>
      <c r="C22" s="204" t="str">
        <f t="shared" si="5"/>
        <v>#REF!</v>
      </c>
      <c r="D22" s="205" t="str">
        <f t="shared" si="5"/>
        <v>#REF!</v>
      </c>
      <c r="E22" s="57"/>
      <c r="F22" s="58">
        <v>6.0</v>
      </c>
      <c r="H22" s="203" t="str">
        <f t="shared" si="1"/>
        <v>#REF!</v>
      </c>
      <c r="I22" s="204" t="str">
        <f t="shared" ref="I22:L22" si="6">'Week 1 MASTER SHEET'!I22</f>
        <v>#REF!</v>
      </c>
      <c r="J22" s="204" t="str">
        <f t="shared" si="6"/>
        <v>#REF!</v>
      </c>
      <c r="K22" s="205" t="str">
        <f t="shared" si="6"/>
        <v>#REF!</v>
      </c>
      <c r="L22" s="57" t="str">
        <f t="shared" si="6"/>
        <v>#REF!</v>
      </c>
      <c r="M22" s="58"/>
      <c r="O22" s="207" t="str">
        <f t="shared" si="2"/>
        <v>#REF!</v>
      </c>
      <c r="P22" s="208" t="str">
        <f t="shared" ref="P22:S22" si="7">'Week 1 MASTER SHEET'!P22</f>
        <v>#REF!</v>
      </c>
      <c r="Q22" s="208" t="str">
        <f t="shared" si="7"/>
        <v>#REF!</v>
      </c>
      <c r="R22" s="74" t="str">
        <f t="shared" si="7"/>
        <v>#REF!</v>
      </c>
      <c r="S22" s="75" t="str">
        <f t="shared" si="7"/>
        <v>#REF!</v>
      </c>
      <c r="T22" s="58">
        <v>6.0</v>
      </c>
    </row>
    <row r="23">
      <c r="A23" s="203" t="str">
        <f t="shared" ref="A23:E23" si="8">'Week 1 MASTER SHEET'!A23</f>
        <v>#REF!</v>
      </c>
      <c r="B23" s="204" t="str">
        <f t="shared" si="8"/>
        <v>#REF!</v>
      </c>
      <c r="C23" s="204" t="str">
        <f t="shared" si="8"/>
        <v>#REF!</v>
      </c>
      <c r="D23" s="205" t="str">
        <f t="shared" si="8"/>
        <v>#REF!</v>
      </c>
      <c r="E23" s="57" t="str">
        <f t="shared" si="8"/>
        <v>#REF!</v>
      </c>
      <c r="F23" s="58">
        <v>1.0</v>
      </c>
      <c r="H23" s="203" t="str">
        <f t="shared" si="1"/>
        <v>#REF!</v>
      </c>
      <c r="I23" s="204" t="str">
        <f t="shared" ref="I23:L23" si="9">'Week 1 MASTER SHEET'!I23</f>
        <v>#REF!</v>
      </c>
      <c r="J23" s="204" t="str">
        <f t="shared" si="9"/>
        <v>#REF!</v>
      </c>
      <c r="K23" s="205" t="str">
        <f t="shared" si="9"/>
        <v>#REF!</v>
      </c>
      <c r="L23" s="57" t="str">
        <f t="shared" si="9"/>
        <v>#REF!</v>
      </c>
      <c r="M23" s="58"/>
      <c r="O23" s="207" t="str">
        <f t="shared" si="2"/>
        <v>#REF!</v>
      </c>
      <c r="P23" s="208" t="str">
        <f t="shared" ref="P23:S23" si="10">'Week 1 MASTER SHEET'!P23</f>
        <v>#REF!</v>
      </c>
      <c r="Q23" s="208" t="str">
        <f t="shared" si="10"/>
        <v>#REF!</v>
      </c>
      <c r="R23" s="74" t="str">
        <f t="shared" si="10"/>
        <v>#REF!</v>
      </c>
      <c r="S23" s="75" t="str">
        <f t="shared" si="10"/>
        <v>#REF!</v>
      </c>
      <c r="T23" s="58">
        <v>1.0</v>
      </c>
    </row>
    <row r="24">
      <c r="A24" s="209" t="str">
        <f t="shared" ref="A24:E24" si="11">'Week 1 MASTER SHEET'!A24</f>
        <v>#REF!</v>
      </c>
      <c r="B24" s="204" t="str">
        <f t="shared" si="11"/>
        <v>#REF!</v>
      </c>
      <c r="C24" s="73" t="str">
        <f t="shared" si="11"/>
        <v>#REF!</v>
      </c>
      <c r="D24" s="205" t="str">
        <f t="shared" si="11"/>
        <v>#REF!</v>
      </c>
      <c r="E24" s="57" t="str">
        <f t="shared" si="11"/>
        <v>#REF!</v>
      </c>
      <c r="F24" s="58">
        <v>1.0</v>
      </c>
      <c r="H24" s="209" t="str">
        <f t="shared" si="1"/>
        <v>#REF!</v>
      </c>
      <c r="I24" s="204" t="str">
        <f t="shared" ref="I24:L24" si="12">'Week 1 MASTER SHEET'!I24</f>
        <v>#REF!</v>
      </c>
      <c r="J24" s="73" t="str">
        <f t="shared" si="12"/>
        <v>#REF!</v>
      </c>
      <c r="K24" s="205" t="str">
        <f t="shared" si="12"/>
        <v>#REF!</v>
      </c>
      <c r="L24" s="57" t="str">
        <f t="shared" si="12"/>
        <v>#REF!</v>
      </c>
      <c r="M24" s="58"/>
      <c r="O24" s="207" t="str">
        <f t="shared" si="2"/>
        <v>#REF!</v>
      </c>
      <c r="P24" s="208" t="str">
        <f t="shared" ref="P24:S24" si="13">'Week 1 MASTER SHEET'!P24</f>
        <v>#REF!</v>
      </c>
      <c r="Q24" s="54" t="str">
        <f t="shared" si="13"/>
        <v>#REF!</v>
      </c>
      <c r="R24" s="74" t="str">
        <f t="shared" si="13"/>
        <v>#REF!</v>
      </c>
      <c r="S24" s="75" t="str">
        <f t="shared" si="13"/>
        <v>#REF!</v>
      </c>
      <c r="T24" s="58">
        <v>1.0</v>
      </c>
    </row>
    <row r="25">
      <c r="A25" s="210" t="str">
        <f t="shared" ref="A25:E25" si="14">'Week 1 MASTER SHEET'!A25</f>
        <v>#REF!</v>
      </c>
      <c r="B25" s="204" t="str">
        <f t="shared" si="14"/>
        <v>#REF!</v>
      </c>
      <c r="C25" s="142" t="str">
        <f t="shared" si="14"/>
        <v>#REF!</v>
      </c>
      <c r="D25" s="205" t="str">
        <f t="shared" si="14"/>
        <v>#REF!</v>
      </c>
      <c r="E25" s="57" t="str">
        <f t="shared" si="14"/>
        <v>#REF!</v>
      </c>
      <c r="F25" s="58">
        <v>1.0</v>
      </c>
      <c r="H25" s="210" t="str">
        <f t="shared" si="1"/>
        <v>#REF!</v>
      </c>
      <c r="I25" s="204" t="str">
        <f t="shared" ref="I25:L25" si="15">'Week 1 MASTER SHEET'!I25</f>
        <v>#REF!</v>
      </c>
      <c r="J25" s="142" t="str">
        <f t="shared" si="15"/>
        <v>#REF!</v>
      </c>
      <c r="K25" s="205" t="str">
        <f t="shared" si="15"/>
        <v>#REF!</v>
      </c>
      <c r="L25" s="57" t="str">
        <f t="shared" si="15"/>
        <v>#REF!</v>
      </c>
      <c r="M25" s="58"/>
      <c r="O25" s="211" t="str">
        <f t="shared" si="2"/>
        <v>#REF!</v>
      </c>
      <c r="P25" s="208" t="str">
        <f t="shared" ref="P25:S25" si="16">'Week 1 MASTER SHEET'!P25</f>
        <v>#REF!</v>
      </c>
      <c r="Q25" s="212" t="str">
        <f t="shared" si="16"/>
        <v>#REF!</v>
      </c>
      <c r="R25" s="74" t="str">
        <f t="shared" si="16"/>
        <v>#REF!</v>
      </c>
      <c r="S25" s="75" t="str">
        <f t="shared" si="16"/>
        <v>#REF!</v>
      </c>
      <c r="T25" s="58">
        <v>6.0</v>
      </c>
    </row>
    <row r="26">
      <c r="A26" s="213" t="str">
        <f t="shared" ref="A26:A32" si="17">'Week 1 MASTER SHEET'!A26</f>
        <v>#REF!</v>
      </c>
      <c r="B26" s="11"/>
      <c r="C26" s="11"/>
      <c r="D26" s="11"/>
      <c r="E26" s="11"/>
      <c r="F26" s="86"/>
      <c r="H26" s="213" t="str">
        <f t="shared" si="1"/>
        <v>#REF!</v>
      </c>
      <c r="I26" s="11"/>
      <c r="J26" s="11"/>
      <c r="K26" s="11"/>
      <c r="L26" s="11"/>
      <c r="M26" s="86"/>
      <c r="O26" s="215" t="str">
        <f t="shared" si="2"/>
        <v>#REF!</v>
      </c>
      <c r="T26" s="19"/>
    </row>
    <row r="27">
      <c r="A27" s="216" t="str">
        <f t="shared" si="17"/>
        <v>#REF!</v>
      </c>
      <c r="B27" s="142" t="str">
        <f t="shared" ref="B27:E27" si="18">'Week 1 MASTER SHEET'!B27</f>
        <v>#REF!</v>
      </c>
      <c r="C27" s="205" t="str">
        <f t="shared" si="18"/>
        <v>#REF!</v>
      </c>
      <c r="D27" s="205" t="str">
        <f t="shared" si="18"/>
        <v>#REF!</v>
      </c>
      <c r="E27" s="205" t="str">
        <f t="shared" si="18"/>
        <v>#REF!</v>
      </c>
      <c r="F27" s="58"/>
      <c r="H27" s="216" t="str">
        <f t="shared" si="1"/>
        <v>#REF!</v>
      </c>
      <c r="I27" s="142" t="str">
        <f t="shared" ref="I27:L27" si="19">'Week 1 MASTER SHEET'!I27</f>
        <v>#REF!</v>
      </c>
      <c r="J27" s="205" t="str">
        <f t="shared" si="19"/>
        <v>#REF!</v>
      </c>
      <c r="K27" s="205" t="str">
        <f t="shared" si="19"/>
        <v>#REF!</v>
      </c>
      <c r="L27" s="217" t="str">
        <f t="shared" si="19"/>
        <v>#REF!</v>
      </c>
      <c r="M27" s="58"/>
      <c r="O27" s="218" t="str">
        <f t="shared" si="2"/>
        <v>#REF!</v>
      </c>
      <c r="P27" s="219" t="str">
        <f t="shared" ref="P27:S27" si="20">'Week 1 MASTER SHEET'!P27</f>
        <v>#REF!</v>
      </c>
      <c r="Q27" s="220" t="str">
        <f t="shared" si="20"/>
        <v>#REF!</v>
      </c>
      <c r="R27" s="221" t="str">
        <f t="shared" si="20"/>
        <v>#REF!</v>
      </c>
      <c r="S27" s="222" t="str">
        <f t="shared" si="20"/>
        <v>#REF!</v>
      </c>
      <c r="T27" s="58">
        <v>3.0</v>
      </c>
    </row>
    <row r="28">
      <c r="A28" s="223" t="str">
        <f t="shared" si="17"/>
        <v>#REF!</v>
      </c>
      <c r="B28" s="204" t="str">
        <f t="shared" ref="B28:E28" si="21">'Week 1 MASTER SHEET'!B28</f>
        <v>#REF!</v>
      </c>
      <c r="C28" s="204" t="str">
        <f t="shared" si="21"/>
        <v>#REF!</v>
      </c>
      <c r="D28" s="204" t="str">
        <f t="shared" si="21"/>
        <v>#REF!</v>
      </c>
      <c r="E28" s="204" t="str">
        <f t="shared" si="21"/>
        <v>#REF!</v>
      </c>
      <c r="F28" s="58"/>
      <c r="H28" s="226" t="str">
        <f t="shared" si="1"/>
        <v>#REF!</v>
      </c>
      <c r="I28" s="142" t="str">
        <f t="shared" ref="I28:K28" si="22">'Week 1 MASTER SHEET'!I28</f>
        <v>#REF!</v>
      </c>
      <c r="J28" s="205" t="str">
        <f t="shared" si="22"/>
        <v>#REF!</v>
      </c>
      <c r="K28" s="205" t="str">
        <f t="shared" si="22"/>
        <v>#REF!</v>
      </c>
      <c r="L28" s="225"/>
      <c r="M28" s="58"/>
      <c r="O28" s="227" t="str">
        <f t="shared" si="2"/>
        <v>#REF!</v>
      </c>
      <c r="P28" s="7"/>
      <c r="Q28" s="7"/>
      <c r="R28" s="7"/>
      <c r="S28" s="7"/>
      <c r="T28" s="197"/>
    </row>
    <row r="29">
      <c r="A29" s="213" t="str">
        <f t="shared" si="17"/>
        <v>#REF!</v>
      </c>
      <c r="B29" s="11"/>
      <c r="C29" s="11"/>
      <c r="D29" s="11"/>
      <c r="E29" s="11"/>
      <c r="F29" s="86"/>
      <c r="H29" s="213" t="str">
        <f t="shared" si="1"/>
        <v>#REF!</v>
      </c>
      <c r="I29" s="11"/>
      <c r="J29" s="11"/>
      <c r="K29" s="11"/>
      <c r="L29" s="11"/>
      <c r="M29" s="86"/>
      <c r="O29" s="82" t="str">
        <f t="shared" si="2"/>
        <v>#REF!</v>
      </c>
      <c r="P29" s="228" t="str">
        <f t="shared" ref="P29:S29" si="23">'Week 1 MASTER SHEET'!P29</f>
        <v>#REF!</v>
      </c>
      <c r="Q29" s="229" t="str">
        <f t="shared" si="23"/>
        <v>#REF!</v>
      </c>
      <c r="R29" s="56" t="str">
        <f t="shared" si="23"/>
        <v>#REF!</v>
      </c>
      <c r="S29" s="222" t="str">
        <f t="shared" si="23"/>
        <v>#REF!</v>
      </c>
      <c r="T29" s="230">
        <v>6.0</v>
      </c>
    </row>
    <row r="30">
      <c r="A30" s="231" t="str">
        <f t="shared" si="17"/>
        <v>#REF!</v>
      </c>
      <c r="B30" s="407"/>
      <c r="C30" s="233" t="str">
        <f t="shared" ref="C30:E30" si="24">'Week 1 MASTER SHEET'!C30</f>
        <v>#REF!</v>
      </c>
      <c r="D30" s="234" t="str">
        <f t="shared" si="24"/>
        <v>#REF!</v>
      </c>
      <c r="E30" s="235" t="str">
        <f t="shared" si="24"/>
        <v>#REF!</v>
      </c>
      <c r="F30" s="58"/>
      <c r="H30" s="216" t="str">
        <f t="shared" si="1"/>
        <v>#REF!</v>
      </c>
      <c r="I30" s="142" t="str">
        <f t="shared" ref="I30:L30" si="25">'Week 1 MASTER SHEET'!I30</f>
        <v>#REF!</v>
      </c>
      <c r="J30" s="408" t="str">
        <f t="shared" si="25"/>
        <v>#REF!</v>
      </c>
      <c r="K30" s="205" t="str">
        <f t="shared" si="25"/>
        <v>#REF!</v>
      </c>
      <c r="L30" s="217" t="str">
        <f t="shared" si="25"/>
        <v>#REF!</v>
      </c>
      <c r="M30" s="58"/>
      <c r="O30" s="236" t="str">
        <f t="shared" si="2"/>
        <v>#REF!</v>
      </c>
      <c r="P30" s="221" t="str">
        <f t="shared" ref="P30:S30" si="26">'Week 1 MASTER SHEET'!P30</f>
        <v>#REF!</v>
      </c>
      <c r="Q30" s="220" t="str">
        <f t="shared" si="26"/>
        <v>#REF!</v>
      </c>
      <c r="R30" s="56" t="str">
        <f t="shared" si="26"/>
        <v>#REF!</v>
      </c>
      <c r="S30" s="222" t="str">
        <f t="shared" si="26"/>
        <v>#REF!</v>
      </c>
      <c r="T30" s="230">
        <v>10.0</v>
      </c>
    </row>
    <row r="31">
      <c r="A31" s="210" t="str">
        <f t="shared" si="17"/>
        <v>#REF!</v>
      </c>
      <c r="B31" s="205">
        <v>185.0</v>
      </c>
      <c r="C31" s="409" t="str">
        <f t="shared" ref="C31:E31" si="27">'Week 1 MASTER SHEET'!C31</f>
        <v>#REF!</v>
      </c>
      <c r="D31" s="204" t="str">
        <f t="shared" si="27"/>
        <v>#REF!</v>
      </c>
      <c r="E31" s="204" t="str">
        <f t="shared" si="27"/>
        <v>#REF!</v>
      </c>
      <c r="F31" s="238"/>
      <c r="H31" s="226" t="str">
        <f t="shared" si="1"/>
        <v>#REF!</v>
      </c>
      <c r="I31" s="142" t="str">
        <f t="shared" ref="I31:L31" si="28">'Week 1 MASTER SHEET'!I31</f>
        <v>#REF!</v>
      </c>
      <c r="J31" s="408" t="str">
        <f t="shared" si="28"/>
        <v>#REF!</v>
      </c>
      <c r="K31" s="205" t="str">
        <f t="shared" si="28"/>
        <v>#REF!</v>
      </c>
      <c r="L31" s="225" t="str">
        <f t="shared" si="28"/>
        <v>#REF!</v>
      </c>
      <c r="M31" s="238"/>
      <c r="O31" s="236" t="str">
        <f t="shared" si="2"/>
        <v>#REF!</v>
      </c>
      <c r="P31" s="221" t="str">
        <f t="shared" ref="P31:S31" si="29">'Week 1 MASTER SHEET'!P31</f>
        <v>#REF!</v>
      </c>
      <c r="Q31" s="220" t="str">
        <f t="shared" si="29"/>
        <v>#REF!</v>
      </c>
      <c r="R31" s="221" t="str">
        <f t="shared" si="29"/>
        <v>#REF!</v>
      </c>
      <c r="S31" s="221" t="str">
        <f t="shared" si="29"/>
        <v>#REF!</v>
      </c>
      <c r="T31" s="230"/>
    </row>
    <row r="32">
      <c r="A32" s="239" t="str">
        <f t="shared" si="17"/>
        <v>#REF!</v>
      </c>
      <c r="B32" s="240" t="str">
        <f>'Week 1 MASTER SHEET'!B32</f>
        <v>#REF!</v>
      </c>
      <c r="C32" s="2"/>
      <c r="D32" s="2"/>
      <c r="E32" s="2"/>
      <c r="F32" s="37"/>
      <c r="H32" s="239" t="str">
        <f t="shared" si="1"/>
        <v>#REF!</v>
      </c>
      <c r="I32" s="240" t="str">
        <f>'Week 1 MASTER SHEET'!I32</f>
        <v>#REF!</v>
      </c>
      <c r="J32" s="2"/>
      <c r="K32" s="2"/>
      <c r="L32" s="2"/>
      <c r="M32" s="37"/>
      <c r="O32" s="236" t="str">
        <f t="shared" si="2"/>
        <v>#REF!</v>
      </c>
      <c r="P32" s="221" t="str">
        <f t="shared" ref="P32:S32" si="30">'Week 1 MASTER SHEET'!P32</f>
        <v>#REF!</v>
      </c>
      <c r="Q32" s="220" t="str">
        <f t="shared" si="30"/>
        <v>#REF!</v>
      </c>
      <c r="R32" s="221" t="str">
        <f t="shared" si="30"/>
        <v>#REF!</v>
      </c>
      <c r="S32" s="221" t="str">
        <f t="shared" si="30"/>
        <v>#REF!</v>
      </c>
      <c r="T32" s="230"/>
    </row>
    <row r="33">
      <c r="A33" s="410"/>
      <c r="H33" s="410"/>
      <c r="O33" s="247" t="str">
        <f t="shared" si="2"/>
        <v>#REF!</v>
      </c>
      <c r="P33" s="240" t="str">
        <f>'Week 1 MASTER SHEET'!P33</f>
        <v>#REF!</v>
      </c>
      <c r="Q33" s="2"/>
      <c r="R33" s="2"/>
      <c r="S33" s="2"/>
      <c r="T33" s="37"/>
    </row>
    <row r="34">
      <c r="A34" s="411" t="str">
        <f t="shared" ref="A34:A38" si="31">'Week 1 MASTER SHEET'!A34</f>
        <v>#REF!</v>
      </c>
      <c r="B34" s="44"/>
      <c r="C34" s="44"/>
      <c r="D34" s="44"/>
      <c r="E34" s="44"/>
      <c r="F34" s="45"/>
      <c r="G34" s="403" t="s">
        <v>90</v>
      </c>
      <c r="H34" s="411" t="str">
        <f t="shared" ref="H34:H38" si="32">'Week 1 MASTER SHEET'!H34</f>
        <v>#REF!</v>
      </c>
      <c r="I34" s="44"/>
      <c r="J34" s="44"/>
      <c r="K34" s="44"/>
      <c r="L34" s="44"/>
      <c r="M34" s="45"/>
      <c r="N34" s="406"/>
    </row>
    <row r="35">
      <c r="A35" s="412" t="str">
        <f t="shared" si="31"/>
        <v>#REF!</v>
      </c>
      <c r="B35" s="413">
        <v>30.0</v>
      </c>
      <c r="C35" s="11"/>
      <c r="D35" s="11"/>
      <c r="E35" s="11"/>
      <c r="F35" s="86"/>
      <c r="H35" s="412" t="str">
        <f t="shared" si="32"/>
        <v>#REF!</v>
      </c>
      <c r="I35" s="413">
        <v>75.0</v>
      </c>
      <c r="J35" s="11"/>
      <c r="K35" s="11"/>
      <c r="L35" s="11"/>
      <c r="M35" s="86"/>
    </row>
    <row r="36">
      <c r="A36" s="414" t="str">
        <f t="shared" si="31"/>
        <v>#REF!</v>
      </c>
      <c r="B36" s="415" t="str">
        <f t="shared" ref="B36:E36" si="33">'Week 1 MASTER SHEET'!B36</f>
        <v>#REF!</v>
      </c>
      <c r="C36" s="415" t="str">
        <f t="shared" si="33"/>
        <v>#REF!</v>
      </c>
      <c r="D36" s="415" t="str">
        <f t="shared" si="33"/>
        <v>#REF!</v>
      </c>
      <c r="E36" s="416" t="str">
        <f t="shared" si="33"/>
        <v>#REF!</v>
      </c>
      <c r="F36" s="52" t="s">
        <v>23</v>
      </c>
      <c r="H36" s="414" t="str">
        <f t="shared" si="32"/>
        <v>#REF!</v>
      </c>
      <c r="I36" s="415" t="str">
        <f t="shared" ref="I36:L36" si="34">'Week 1 MASTER SHEET'!I36</f>
        <v>#REF!</v>
      </c>
      <c r="J36" s="415" t="str">
        <f t="shared" si="34"/>
        <v>#REF!</v>
      </c>
      <c r="K36" s="415" t="str">
        <f t="shared" si="34"/>
        <v>#REF!</v>
      </c>
      <c r="L36" s="416" t="str">
        <f t="shared" si="34"/>
        <v>#REF!</v>
      </c>
      <c r="M36" s="52" t="s">
        <v>23</v>
      </c>
    </row>
    <row r="37">
      <c r="A37" s="417" t="str">
        <f t="shared" si="31"/>
        <v>#REF!</v>
      </c>
      <c r="B37" s="418" t="str">
        <f t="shared" ref="B37:E37" si="35">'Week 1 MASTER SHEET'!B37</f>
        <v>#REF!</v>
      </c>
      <c r="C37" s="418" t="str">
        <f t="shared" si="35"/>
        <v>#REF!</v>
      </c>
      <c r="D37" s="419" t="str">
        <f t="shared" si="35"/>
        <v>#REF!</v>
      </c>
      <c r="E37" s="420" t="str">
        <f t="shared" si="35"/>
        <v>#REF!</v>
      </c>
      <c r="F37" s="421">
        <v>15.0</v>
      </c>
      <c r="H37" s="417" t="str">
        <f t="shared" si="32"/>
        <v>#REF!</v>
      </c>
      <c r="I37" s="418" t="str">
        <f t="shared" ref="I37:L37" si="36">'Week 1 MASTER SHEET'!I37</f>
        <v>#REF!</v>
      </c>
      <c r="J37" s="418" t="str">
        <f t="shared" si="36"/>
        <v>#REF!</v>
      </c>
      <c r="K37" s="419" t="str">
        <f t="shared" si="36"/>
        <v>#REF!</v>
      </c>
      <c r="L37" s="420" t="str">
        <f t="shared" si="36"/>
        <v>#REF!</v>
      </c>
      <c r="M37" s="421"/>
    </row>
    <row r="38">
      <c r="A38" s="422" t="str">
        <f t="shared" si="31"/>
        <v>#REF!</v>
      </c>
      <c r="B38" s="423" t="str">
        <f t="shared" ref="B38:E38" si="37">'Week 1 MASTER SHEET'!B38</f>
        <v>#REF!</v>
      </c>
      <c r="C38" s="423" t="str">
        <f t="shared" si="37"/>
        <v>#REF!</v>
      </c>
      <c r="D38" s="424" t="str">
        <f t="shared" si="37"/>
        <v>#REF!</v>
      </c>
      <c r="E38" s="425" t="str">
        <f t="shared" si="37"/>
        <v>#REF!</v>
      </c>
      <c r="F38" s="421">
        <v>15.0</v>
      </c>
      <c r="H38" s="422" t="str">
        <f t="shared" si="32"/>
        <v>#REF!</v>
      </c>
      <c r="I38" s="423" t="str">
        <f t="shared" ref="I38:L38" si="38">'Week 1 MASTER SHEET'!I38</f>
        <v>#REF!</v>
      </c>
      <c r="J38" s="423" t="str">
        <f t="shared" si="38"/>
        <v>#REF!</v>
      </c>
      <c r="K38" s="424" t="str">
        <f t="shared" si="38"/>
        <v>#REF!</v>
      </c>
      <c r="L38" s="425" t="str">
        <f t="shared" si="38"/>
        <v>#REF!</v>
      </c>
      <c r="M38" s="421"/>
    </row>
    <row r="39">
      <c r="A39" s="410"/>
      <c r="H39" s="406"/>
    </row>
    <row r="41">
      <c r="A41" s="411" t="str">
        <f t="shared" ref="A41:A54" si="39">'Week 1 MASTER SHEET'!A41</f>
        <v>#REF!</v>
      </c>
      <c r="B41" s="44"/>
      <c r="C41" s="44"/>
      <c r="D41" s="44"/>
      <c r="E41" s="44"/>
      <c r="F41" s="45"/>
    </row>
    <row r="42">
      <c r="A42" s="193" t="str">
        <f t="shared" si="39"/>
        <v>#REF!</v>
      </c>
      <c r="B42" s="194">
        <v>255.0</v>
      </c>
      <c r="C42" s="11"/>
      <c r="D42" s="11"/>
      <c r="E42" s="11"/>
      <c r="F42" s="86"/>
    </row>
    <row r="43">
      <c r="A43" s="198" t="str">
        <f t="shared" si="39"/>
        <v>#REF!</v>
      </c>
      <c r="B43" s="199" t="str">
        <f t="shared" ref="B43:E43" si="40">'Week 1 MASTER SHEET'!B43</f>
        <v>#REF!</v>
      </c>
      <c r="C43" s="199" t="str">
        <f t="shared" si="40"/>
        <v>#REF!</v>
      </c>
      <c r="D43" s="199" t="str">
        <f t="shared" si="40"/>
        <v>#REF!</v>
      </c>
      <c r="E43" s="200" t="str">
        <f t="shared" si="40"/>
        <v>#REF!</v>
      </c>
      <c r="F43" s="52" t="s">
        <v>23</v>
      </c>
    </row>
    <row r="44">
      <c r="A44" s="203" t="str">
        <f t="shared" si="39"/>
        <v>#REF!</v>
      </c>
      <c r="B44" s="204" t="str">
        <f t="shared" ref="B44:E44" si="41">'Week 1 MASTER SHEET'!B44</f>
        <v>#REF!</v>
      </c>
      <c r="C44" s="204" t="str">
        <f t="shared" si="41"/>
        <v>#REF!</v>
      </c>
      <c r="D44" s="205" t="str">
        <f t="shared" si="41"/>
        <v>#REF!</v>
      </c>
      <c r="E44" s="57" t="str">
        <f t="shared" si="41"/>
        <v>#REF!</v>
      </c>
      <c r="F44" s="426">
        <v>6.0</v>
      </c>
    </row>
    <row r="45">
      <c r="A45" s="203" t="str">
        <f t="shared" si="39"/>
        <v>#REF!</v>
      </c>
      <c r="B45" s="204" t="str">
        <f t="shared" ref="B45:E45" si="42">'Week 1 MASTER SHEET'!B45</f>
        <v>#REF!</v>
      </c>
      <c r="C45" s="205" t="str">
        <f t="shared" si="42"/>
        <v>#REF!</v>
      </c>
      <c r="D45" s="205" t="str">
        <f t="shared" si="42"/>
        <v>#REF!</v>
      </c>
      <c r="E45" s="57" t="str">
        <f t="shared" si="42"/>
        <v>#REF!</v>
      </c>
      <c r="F45" s="427">
        <v>3.0</v>
      </c>
    </row>
    <row r="46">
      <c r="A46" s="209" t="str">
        <f t="shared" si="39"/>
        <v>#REF!</v>
      </c>
      <c r="B46" s="204" t="str">
        <f t="shared" ref="B46:E46" si="43">'Week 1 MASTER SHEET'!B46</f>
        <v>#REF!</v>
      </c>
      <c r="C46" s="54" t="str">
        <f t="shared" si="43"/>
        <v>#REF!</v>
      </c>
      <c r="D46" s="205" t="str">
        <f t="shared" si="43"/>
        <v>#REF!</v>
      </c>
      <c r="E46" s="57" t="str">
        <f t="shared" si="43"/>
        <v>#REF!</v>
      </c>
      <c r="F46" s="427">
        <v>2.0</v>
      </c>
    </row>
    <row r="47">
      <c r="A47" s="210" t="str">
        <f t="shared" si="39"/>
        <v>#REF!</v>
      </c>
      <c r="B47" s="204" t="str">
        <f t="shared" ref="B47:E47" si="44">'Week 1 MASTER SHEET'!B47</f>
        <v>#REF!</v>
      </c>
      <c r="C47" s="224" t="str">
        <f t="shared" si="44"/>
        <v>#REF!</v>
      </c>
      <c r="D47" s="205" t="str">
        <f t="shared" si="44"/>
        <v>#REF!</v>
      </c>
      <c r="E47" s="57" t="str">
        <f t="shared" si="44"/>
        <v>#REF!</v>
      </c>
      <c r="F47" s="427">
        <v>3.0</v>
      </c>
    </row>
    <row r="48">
      <c r="A48" s="213" t="str">
        <f t="shared" si="39"/>
        <v>#REF!</v>
      </c>
      <c r="B48" s="11"/>
      <c r="C48" s="11"/>
      <c r="D48" s="11"/>
      <c r="E48" s="11"/>
      <c r="F48" s="86"/>
    </row>
    <row r="49">
      <c r="A49" s="216" t="str">
        <f t="shared" si="39"/>
        <v>#REF!</v>
      </c>
      <c r="B49" s="142" t="str">
        <f t="shared" ref="B49:E49" si="45">'Week 1 MASTER SHEET'!B49</f>
        <v>#REF!</v>
      </c>
      <c r="C49" s="205" t="str">
        <f t="shared" si="45"/>
        <v>#REF!</v>
      </c>
      <c r="D49" s="205" t="str">
        <f t="shared" si="45"/>
        <v>#REF!</v>
      </c>
      <c r="E49" s="217" t="str">
        <f t="shared" si="45"/>
        <v>#REF!</v>
      </c>
      <c r="F49" s="58">
        <v>4.0</v>
      </c>
    </row>
    <row r="50">
      <c r="A50" s="223" t="str">
        <f t="shared" si="39"/>
        <v>#REF!</v>
      </c>
      <c r="B50" s="204" t="str">
        <f t="shared" ref="B50:E50" si="46">'Week 1 MASTER SHEET'!B50</f>
        <v>#REF!</v>
      </c>
      <c r="C50" s="224" t="str">
        <f t="shared" si="46"/>
        <v>#REF!</v>
      </c>
      <c r="D50" s="224" t="str">
        <f t="shared" si="46"/>
        <v>#REF!</v>
      </c>
      <c r="E50" s="225" t="str">
        <f t="shared" si="46"/>
        <v>#REF!</v>
      </c>
      <c r="F50" s="58">
        <v>3.0</v>
      </c>
    </row>
    <row r="51">
      <c r="A51" s="213" t="str">
        <f t="shared" si="39"/>
        <v>#REF!</v>
      </c>
      <c r="B51" s="11"/>
      <c r="C51" s="11"/>
      <c r="D51" s="11"/>
      <c r="E51" s="11"/>
      <c r="F51" s="86"/>
    </row>
    <row r="52">
      <c r="A52" s="231" t="str">
        <f t="shared" si="39"/>
        <v>#REF!</v>
      </c>
      <c r="B52" s="232" t="str">
        <f t="shared" ref="B52:E52" si="47">'Week 1 MASTER SHEET'!B52</f>
        <v>#REF!</v>
      </c>
      <c r="C52" s="233" t="str">
        <f t="shared" si="47"/>
        <v>#REF!</v>
      </c>
      <c r="D52" s="234" t="str">
        <f t="shared" si="47"/>
        <v>#REF!</v>
      </c>
      <c r="E52" s="235" t="str">
        <f t="shared" si="47"/>
        <v>#REF!</v>
      </c>
      <c r="F52" s="58">
        <v>6.0</v>
      </c>
    </row>
    <row r="53">
      <c r="A53" s="210" t="str">
        <f t="shared" si="39"/>
        <v>#REF!</v>
      </c>
      <c r="B53" s="204" t="str">
        <f t="shared" ref="B53:E53" si="48">'Week 1 MASTER SHEET'!B53</f>
        <v>#REF!</v>
      </c>
      <c r="C53" s="212" t="str">
        <f t="shared" si="48"/>
        <v>#REF!</v>
      </c>
      <c r="D53" s="56" t="str">
        <f t="shared" si="48"/>
        <v>#REF!</v>
      </c>
      <c r="E53" s="225" t="str">
        <f t="shared" si="48"/>
        <v>#REF!</v>
      </c>
      <c r="F53" s="238">
        <v>5.0</v>
      </c>
    </row>
    <row r="54">
      <c r="A54" s="195" t="str">
        <f t="shared" si="39"/>
        <v>#REF!</v>
      </c>
      <c r="B54" s="240" t="str">
        <f>'Week 1 MASTER SHEET'!B54</f>
        <v>#REF!</v>
      </c>
      <c r="C54" s="2"/>
      <c r="D54" s="2"/>
      <c r="E54" s="2"/>
      <c r="F54" s="37"/>
    </row>
    <row r="55">
      <c r="A55" s="428"/>
      <c r="B55" s="16"/>
      <c r="C55" s="16"/>
      <c r="D55" s="16"/>
      <c r="E55" s="16"/>
      <c r="F55" s="16"/>
    </row>
    <row r="57">
      <c r="A57" s="411" t="str">
        <f t="shared" ref="A57:A63" si="49">'Week 1 MASTER SHEET'!A57</f>
        <v>#REF!</v>
      </c>
      <c r="B57" s="44"/>
      <c r="C57" s="44"/>
      <c r="D57" s="44"/>
      <c r="E57" s="44"/>
      <c r="F57" s="45"/>
    </row>
    <row r="58">
      <c r="A58" s="429" t="str">
        <f t="shared" si="49"/>
        <v>#REF!</v>
      </c>
      <c r="B58" s="430" t="str">
        <f>'DETERMINING MAX WEEK'!E63</f>
        <v>#REF!</v>
      </c>
      <c r="C58" s="4"/>
      <c r="D58" s="4"/>
      <c r="E58" s="4"/>
      <c r="F58" s="48"/>
    </row>
    <row r="59">
      <c r="A59" s="431" t="str">
        <f t="shared" si="49"/>
        <v>#REF!</v>
      </c>
      <c r="B59" s="432" t="str">
        <f t="shared" ref="B59:E59" si="50">'Week 1 MASTER SHEET'!B59</f>
        <v>#REF!</v>
      </c>
      <c r="C59" s="432" t="str">
        <f t="shared" si="50"/>
        <v>#REF!</v>
      </c>
      <c r="D59" s="432" t="str">
        <f t="shared" si="50"/>
        <v>#REF!</v>
      </c>
      <c r="E59" s="433" t="str">
        <f t="shared" si="50"/>
        <v>#REF!</v>
      </c>
      <c r="F59" s="52" t="s">
        <v>23</v>
      </c>
    </row>
    <row r="60">
      <c r="A60" s="434" t="str">
        <f t="shared" si="49"/>
        <v>#REF!</v>
      </c>
      <c r="B60" s="435" t="str">
        <f t="shared" ref="B60:E60" si="51">'Week 1 MASTER SHEET'!B60</f>
        <v>#REF!</v>
      </c>
      <c r="C60" s="436" t="str">
        <f t="shared" si="51"/>
        <v>#REF!</v>
      </c>
      <c r="D60" s="435" t="str">
        <f t="shared" si="51"/>
        <v>#REF!</v>
      </c>
      <c r="E60" s="437" t="str">
        <f t="shared" si="51"/>
        <v>#REF!</v>
      </c>
      <c r="F60" s="76">
        <v>6.0</v>
      </c>
    </row>
    <row r="61">
      <c r="A61" s="434" t="str">
        <f t="shared" si="49"/>
        <v>#REF!</v>
      </c>
      <c r="B61" s="435" t="str">
        <f t="shared" ref="B61:E61" si="52">'Week 1 MASTER SHEET'!B61</f>
        <v>#REF!</v>
      </c>
      <c r="C61" s="436" t="str">
        <f t="shared" si="52"/>
        <v>#REF!</v>
      </c>
      <c r="D61" s="435" t="str">
        <f t="shared" si="52"/>
        <v>#REF!</v>
      </c>
      <c r="E61" s="437" t="str">
        <f t="shared" si="52"/>
        <v>#REF!</v>
      </c>
      <c r="F61" s="76">
        <v>8.0</v>
      </c>
    </row>
    <row r="62">
      <c r="A62" s="438" t="str">
        <f t="shared" si="49"/>
        <v>#REF!</v>
      </c>
      <c r="B62" s="439" t="str">
        <f t="shared" ref="B62:E62" si="53">'Week 1 MASTER SHEET'!B62</f>
        <v>#REF!</v>
      </c>
      <c r="C62" s="440" t="str">
        <f t="shared" si="53"/>
        <v>#REF!</v>
      </c>
      <c r="D62" s="439" t="str">
        <f t="shared" si="53"/>
        <v>#REF!</v>
      </c>
      <c r="E62" s="441" t="str">
        <f t="shared" si="53"/>
        <v>#REF!</v>
      </c>
      <c r="F62" s="76">
        <v>7.0</v>
      </c>
    </row>
    <row r="63">
      <c r="A63" s="442" t="str">
        <f t="shared" si="49"/>
        <v>#REF!</v>
      </c>
      <c r="F63" s="30"/>
    </row>
    <row r="64">
      <c r="A64" s="399"/>
      <c r="F64" s="30"/>
    </row>
    <row r="65">
      <c r="A65" s="411" t="str">
        <f t="shared" ref="A65:A70" si="54">'Week 1 MASTER SHEET'!A65</f>
        <v>#REF!</v>
      </c>
      <c r="B65" s="44"/>
      <c r="C65" s="44"/>
      <c r="D65" s="44"/>
      <c r="E65" s="44"/>
      <c r="F65" s="45"/>
    </row>
    <row r="66">
      <c r="A66" s="429" t="str">
        <f t="shared" si="54"/>
        <v>#REF!</v>
      </c>
      <c r="B66" s="430" t="str">
        <f>'DETERMINING MAX WEEK'!E80</f>
        <v>#REF!</v>
      </c>
      <c r="C66" s="4"/>
      <c r="D66" s="4"/>
      <c r="E66" s="4"/>
      <c r="F66" s="48"/>
    </row>
    <row r="67">
      <c r="A67" s="431" t="str">
        <f t="shared" si="54"/>
        <v>#REF!</v>
      </c>
      <c r="B67" s="432" t="str">
        <f t="shared" ref="B67:E67" si="55">'Week 1 MASTER SHEET'!B67</f>
        <v>#REF!</v>
      </c>
      <c r="C67" s="432" t="str">
        <f t="shared" si="55"/>
        <v>#REF!</v>
      </c>
      <c r="D67" s="432" t="str">
        <f t="shared" si="55"/>
        <v>#REF!</v>
      </c>
      <c r="E67" s="433" t="str">
        <f t="shared" si="55"/>
        <v>#REF!</v>
      </c>
      <c r="F67" s="52" t="s">
        <v>23</v>
      </c>
    </row>
    <row r="68">
      <c r="A68" s="443" t="str">
        <f t="shared" si="54"/>
        <v>#REF!</v>
      </c>
      <c r="B68" s="444" t="str">
        <f t="shared" ref="B68:E68" si="56">'Week 1 MASTER SHEET'!B68</f>
        <v>#REF!</v>
      </c>
      <c r="C68" s="445" t="str">
        <f t="shared" si="56"/>
        <v>#REF!</v>
      </c>
      <c r="D68" s="444" t="str">
        <f t="shared" si="56"/>
        <v>#REF!</v>
      </c>
      <c r="E68" s="446" t="str">
        <f t="shared" si="56"/>
        <v>#REF!</v>
      </c>
      <c r="F68" s="76">
        <v>7.0</v>
      </c>
    </row>
    <row r="69">
      <c r="A69" s="443" t="str">
        <f t="shared" si="54"/>
        <v>#REF!</v>
      </c>
      <c r="B69" s="444" t="str">
        <f t="shared" ref="B69:E69" si="57">'Week 1 MASTER SHEET'!B69</f>
        <v>#REF!</v>
      </c>
      <c r="C69" s="445" t="str">
        <f t="shared" si="57"/>
        <v>#REF!</v>
      </c>
      <c r="D69" s="444" t="str">
        <f t="shared" si="57"/>
        <v>#REF!</v>
      </c>
      <c r="E69" s="446" t="str">
        <f t="shared" si="57"/>
        <v>#REF!</v>
      </c>
      <c r="F69" s="76">
        <v>10.0</v>
      </c>
    </row>
    <row r="70">
      <c r="A70" s="447" t="str">
        <f t="shared" si="54"/>
        <v>#REF!</v>
      </c>
      <c r="B70" s="448" t="str">
        <f t="shared" ref="B70:E70" si="58">'Week 1 MASTER SHEET'!B70</f>
        <v>#REF!</v>
      </c>
      <c r="C70" s="449" t="str">
        <f t="shared" si="58"/>
        <v>#REF!</v>
      </c>
      <c r="D70" s="448" t="str">
        <f t="shared" si="58"/>
        <v>#REF!</v>
      </c>
      <c r="E70" s="450" t="str">
        <f t="shared" si="58"/>
        <v>#REF!</v>
      </c>
      <c r="F70" s="76"/>
    </row>
    <row r="71">
      <c r="A71" s="451"/>
    </row>
    <row r="72" ht="21.75" customHeight="1">
      <c r="A72" s="452" t="str">
        <f>'Week 1 MASTER SHEET'!A72</f>
        <v>#REF!</v>
      </c>
      <c r="B72" s="16"/>
      <c r="C72" s="16"/>
      <c r="D72" s="16"/>
      <c r="E72" s="16"/>
      <c r="F72" s="17"/>
    </row>
    <row r="73" ht="21.75" customHeight="1">
      <c r="A73" s="301"/>
      <c r="B73" s="16"/>
      <c r="C73" s="16"/>
      <c r="D73" s="16"/>
      <c r="E73" s="16"/>
      <c r="F73" s="16"/>
    </row>
    <row r="74" ht="21.75" customHeight="1">
      <c r="A74" s="41" t="str">
        <f>'Week 1 MASTER SHEET'!A74</f>
        <v>#REF!</v>
      </c>
      <c r="B74" s="27"/>
      <c r="C74" s="27"/>
      <c r="D74" s="27"/>
      <c r="E74" s="27"/>
      <c r="F74" s="28"/>
    </row>
    <row r="75" ht="21.75" customHeight="1">
      <c r="A75" s="453"/>
      <c r="B75" s="16"/>
      <c r="C75" s="16"/>
      <c r="D75" s="16"/>
      <c r="E75" s="16"/>
      <c r="F75" s="16"/>
    </row>
    <row r="76" ht="21.75" customHeight="1">
      <c r="A76" s="42" t="str">
        <f t="shared" ref="A76:A80" si="59">'Week 1 MASTER SHEET'!A76</f>
        <v>#REF!</v>
      </c>
      <c r="B76" s="27"/>
      <c r="C76" s="27"/>
      <c r="D76" s="27"/>
      <c r="E76" s="27"/>
      <c r="F76" s="28"/>
    </row>
    <row r="77" ht="21.75" customHeight="1">
      <c r="A77" s="454" t="str">
        <f t="shared" si="59"/>
        <v>#REF!</v>
      </c>
      <c r="B77" s="4"/>
      <c r="C77" s="4"/>
      <c r="D77" s="4"/>
      <c r="E77" s="4"/>
      <c r="F77" s="48"/>
    </row>
    <row r="78" ht="21.75" customHeight="1">
      <c r="A78" s="431" t="str">
        <f t="shared" si="59"/>
        <v>#REF!</v>
      </c>
      <c r="B78" s="432" t="str">
        <f t="shared" ref="B78:E78" si="60">'Week 1 MASTER SHEET'!B78</f>
        <v>#REF!</v>
      </c>
      <c r="C78" s="432" t="str">
        <f t="shared" si="60"/>
        <v>#REF!</v>
      </c>
      <c r="D78" s="432" t="str">
        <f t="shared" si="60"/>
        <v>#REF!</v>
      </c>
      <c r="E78" s="433" t="str">
        <f t="shared" si="60"/>
        <v>#REF!</v>
      </c>
      <c r="F78" s="52" t="s">
        <v>23</v>
      </c>
    </row>
    <row r="79" ht="21.75" customHeight="1">
      <c r="A79" s="309" t="str">
        <f t="shared" si="59"/>
        <v>#REF!</v>
      </c>
      <c r="B79" s="310" t="str">
        <f t="shared" ref="B79:F79" si="61">'Week 1 MASTER SHEET'!B79</f>
        <v>#REF!</v>
      </c>
      <c r="C79" s="310" t="str">
        <f t="shared" si="61"/>
        <v>#REF!</v>
      </c>
      <c r="D79" s="455" t="str">
        <f t="shared" si="61"/>
        <v>#REF!</v>
      </c>
      <c r="E79" s="312" t="str">
        <f t="shared" si="61"/>
        <v>#REF!</v>
      </c>
      <c r="F79" s="76" t="str">
        <f t="shared" si="61"/>
        <v>#REF!</v>
      </c>
    </row>
    <row r="80" ht="21.75" customHeight="1">
      <c r="A80" s="456" t="str">
        <f t="shared" si="59"/>
        <v>#REF!</v>
      </c>
      <c r="B80" s="457" t="str">
        <f t="shared" ref="B80:F80" si="62">'Week 1 MASTER SHEET'!B80</f>
        <v>#REF!</v>
      </c>
      <c r="C80" s="457" t="str">
        <f t="shared" si="62"/>
        <v>#REF!</v>
      </c>
      <c r="D80" s="458" t="str">
        <f t="shared" si="62"/>
        <v>#REF!</v>
      </c>
      <c r="E80" s="459" t="str">
        <f t="shared" si="62"/>
        <v>#REF!</v>
      </c>
      <c r="F80" s="76" t="str">
        <f t="shared" si="62"/>
        <v>#REF!</v>
      </c>
    </row>
    <row r="81" ht="21.75" customHeight="1">
      <c r="A81" s="460"/>
    </row>
    <row r="82" ht="21.75" customHeight="1"/>
    <row r="83" ht="21.75" customHeight="1">
      <c r="A83" s="461" t="str">
        <f t="shared" ref="A83:A85" si="63">'Week 1 MASTER SHEET'!A83</f>
        <v>#REF!</v>
      </c>
      <c r="B83" s="44"/>
      <c r="C83" s="44"/>
      <c r="D83" s="44"/>
      <c r="E83" s="44"/>
      <c r="F83" s="45"/>
    </row>
    <row r="84">
      <c r="A84" s="429" t="str">
        <f t="shared" si="63"/>
        <v>#REF!</v>
      </c>
      <c r="B84" s="462" t="str">
        <f>'DETERMINING MAX WEEK'!E108</f>
        <v>#REF!</v>
      </c>
      <c r="C84" s="11"/>
      <c r="D84" s="11"/>
      <c r="E84" s="11"/>
      <c r="F84" s="86"/>
    </row>
    <row r="85">
      <c r="A85" s="431" t="str">
        <f t="shared" si="63"/>
        <v>#REF!</v>
      </c>
      <c r="B85" s="432" t="str">
        <f t="shared" ref="B85:E85" si="64">'Week 1 MASTER SHEET'!B85</f>
        <v>#REF!</v>
      </c>
      <c r="C85" s="432" t="str">
        <f t="shared" si="64"/>
        <v>#REF!</v>
      </c>
      <c r="D85" s="432" t="str">
        <f t="shared" si="64"/>
        <v>#REF!</v>
      </c>
      <c r="E85" s="433" t="str">
        <f t="shared" si="64"/>
        <v>#REF!</v>
      </c>
      <c r="F85" s="52" t="s">
        <v>23</v>
      </c>
    </row>
    <row r="86">
      <c r="A86" s="309">
        <v>1.0</v>
      </c>
      <c r="B86" s="463" t="str">
        <f t="shared" ref="B86:E86" si="65">'Week 1 MASTER SHEET'!B86</f>
        <v>#REF!</v>
      </c>
      <c r="C86" s="463" t="str">
        <f t="shared" si="65"/>
        <v>#REF!</v>
      </c>
      <c r="D86" s="464" t="str">
        <f t="shared" si="65"/>
        <v>#REF!</v>
      </c>
      <c r="E86" s="465" t="str">
        <f t="shared" si="65"/>
        <v>#REF!</v>
      </c>
      <c r="F86" s="76">
        <v>20.0</v>
      </c>
    </row>
    <row r="87">
      <c r="A87" s="319">
        <v>2.0</v>
      </c>
      <c r="B87" s="463" t="str">
        <f t="shared" ref="B87:E87" si="66">'Week 1 MASTER SHEET'!B87</f>
        <v>#REF!</v>
      </c>
      <c r="C87" s="463" t="str">
        <f t="shared" si="66"/>
        <v>#REF!</v>
      </c>
      <c r="D87" s="464" t="str">
        <f t="shared" si="66"/>
        <v>#REF!</v>
      </c>
      <c r="E87" s="465" t="str">
        <f t="shared" si="66"/>
        <v>#REF!</v>
      </c>
      <c r="F87" s="76">
        <v>20.0</v>
      </c>
    </row>
    <row r="88">
      <c r="A88" s="319">
        <v>3.0</v>
      </c>
      <c r="B88" s="463" t="str">
        <f t="shared" ref="B88:E88" si="67">'Week 1 MASTER SHEET'!B88</f>
        <v>#REF!</v>
      </c>
      <c r="C88" s="463" t="str">
        <f t="shared" si="67"/>
        <v>#REF!</v>
      </c>
      <c r="D88" s="464" t="str">
        <f t="shared" si="67"/>
        <v>#REF!</v>
      </c>
      <c r="E88" s="465" t="str">
        <f t="shared" si="67"/>
        <v>#REF!</v>
      </c>
      <c r="F88" s="76">
        <v>20.0</v>
      </c>
    </row>
    <row r="89">
      <c r="A89" s="466">
        <v>4.0</v>
      </c>
      <c r="B89" s="467" t="str">
        <f t="shared" ref="B89:E89" si="68">'Week 1 MASTER SHEET'!B89</f>
        <v>#REF!</v>
      </c>
      <c r="C89" s="467" t="str">
        <f t="shared" si="68"/>
        <v>#REF!</v>
      </c>
      <c r="D89" s="468" t="str">
        <f t="shared" si="68"/>
        <v>#REF!</v>
      </c>
      <c r="E89" s="469" t="str">
        <f t="shared" si="68"/>
        <v>#REF!</v>
      </c>
      <c r="F89" s="76">
        <v>20.0</v>
      </c>
    </row>
    <row r="90">
      <c r="A90" s="470"/>
    </row>
    <row r="92">
      <c r="A92" s="84" t="str">
        <f t="shared" ref="A92:A97" si="69">'Week 1 MASTER SHEET'!A92</f>
        <v>#REF!</v>
      </c>
      <c r="B92" s="44"/>
      <c r="C92" s="44"/>
      <c r="D92" s="44"/>
      <c r="E92" s="44"/>
      <c r="F92" s="45"/>
    </row>
    <row r="93">
      <c r="A93" s="193" t="str">
        <f t="shared" si="69"/>
        <v>#REF!</v>
      </c>
      <c r="B93" s="85" t="str">
        <f>'DETERMINING MAX WEEK'!E124</f>
        <v>#REF!</v>
      </c>
      <c r="C93" s="11"/>
      <c r="D93" s="11"/>
      <c r="E93" s="11"/>
      <c r="F93" s="86"/>
    </row>
    <row r="94">
      <c r="A94" s="87" t="str">
        <f t="shared" si="69"/>
        <v>#REF!</v>
      </c>
      <c r="B94" s="88" t="str">
        <f t="shared" ref="B94:E94" si="70">'Week 1 MASTER SHEET'!B94</f>
        <v>#REF!</v>
      </c>
      <c r="C94" s="88" t="str">
        <f t="shared" si="70"/>
        <v>#REF!</v>
      </c>
      <c r="D94" s="88" t="str">
        <f t="shared" si="70"/>
        <v>#REF!</v>
      </c>
      <c r="E94" s="89" t="str">
        <f t="shared" si="70"/>
        <v>#REF!</v>
      </c>
      <c r="F94" s="52" t="s">
        <v>23</v>
      </c>
    </row>
    <row r="95">
      <c r="A95" s="53" t="str">
        <f t="shared" si="69"/>
        <v>#REF!</v>
      </c>
      <c r="B95" s="90" t="str">
        <f t="shared" ref="B95:E95" si="71">'Week 1 MASTER SHEET'!B95</f>
        <v>#REF!</v>
      </c>
      <c r="C95" s="95" t="str">
        <f t="shared" si="71"/>
        <v>#REF!</v>
      </c>
      <c r="D95" s="74" t="str">
        <f t="shared" si="71"/>
        <v>#REF!</v>
      </c>
      <c r="E95" s="91" t="str">
        <f t="shared" si="71"/>
        <v>#REF!</v>
      </c>
      <c r="F95" s="76">
        <v>5.0</v>
      </c>
    </row>
    <row r="96">
      <c r="A96" s="292" t="str">
        <f t="shared" si="69"/>
        <v>#REF!</v>
      </c>
      <c r="B96" s="293" t="str">
        <f t="shared" ref="B96:E96" si="72">'Week 1 MASTER SHEET'!B96</f>
        <v>#REF!</v>
      </c>
      <c r="C96" s="294" t="str">
        <f t="shared" si="72"/>
        <v>#REF!</v>
      </c>
      <c r="D96" s="74" t="str">
        <f t="shared" si="72"/>
        <v>#REF!</v>
      </c>
      <c r="E96" s="91" t="str">
        <f t="shared" si="72"/>
        <v>#REF!</v>
      </c>
      <c r="F96" s="76">
        <v>12.0</v>
      </c>
    </row>
    <row r="97">
      <c r="A97" s="471" t="str">
        <f t="shared" si="69"/>
        <v>#REF!</v>
      </c>
      <c r="B97" s="73" t="str">
        <f t="shared" ref="B97:E97" si="73">'Week 1 MASTER SHEET'!B97</f>
        <v>#REF!</v>
      </c>
      <c r="C97" s="212" t="str">
        <f t="shared" si="73"/>
        <v>#REF!</v>
      </c>
      <c r="D97" s="472" t="str">
        <f t="shared" si="73"/>
        <v>#REF!</v>
      </c>
      <c r="E97" s="91" t="str">
        <f t="shared" si="73"/>
        <v>#REF!</v>
      </c>
      <c r="F97" s="76">
        <v>15.0</v>
      </c>
    </row>
    <row r="98">
      <c r="A98" s="451"/>
    </row>
    <row r="100">
      <c r="A100" s="473" t="str">
        <f t="shared" ref="A100:A106" si="74">'Week 1 MASTER SHEET'!A100</f>
        <v>#REF!</v>
      </c>
      <c r="B100" s="44"/>
      <c r="C100" s="44"/>
      <c r="D100" s="44"/>
      <c r="E100" s="44"/>
      <c r="F100" s="45"/>
      <c r="G100" s="291" t="s">
        <v>90</v>
      </c>
      <c r="H100" s="461" t="str">
        <f t="shared" ref="H100:H106" si="75">'Week 1 MASTER SHEET'!H100</f>
        <v>#REF!</v>
      </c>
      <c r="I100" s="44"/>
      <c r="J100" s="44"/>
      <c r="K100" s="44"/>
      <c r="L100" s="44"/>
      <c r="M100" s="45"/>
      <c r="N100" s="391"/>
      <c r="T100" s="391"/>
    </row>
    <row r="101">
      <c r="A101" s="193" t="str">
        <f t="shared" si="74"/>
        <v>#REF!</v>
      </c>
      <c r="B101" s="85" t="str">
        <f t="shared" ref="B101:B105" si="76">'Week 1 MASTER SHEET'!B101</f>
        <v>#REF!</v>
      </c>
      <c r="C101" s="11"/>
      <c r="D101" s="11"/>
      <c r="E101" s="11"/>
      <c r="F101" s="86"/>
      <c r="H101" s="193" t="str">
        <f t="shared" si="75"/>
        <v>#REF!</v>
      </c>
      <c r="I101" s="85" t="str">
        <f t="shared" ref="I101:I106" si="78">'Week 1 MASTER SHEET'!I101</f>
        <v>#REF!</v>
      </c>
      <c r="J101" s="11"/>
      <c r="K101" s="11"/>
      <c r="L101" s="11"/>
      <c r="M101" s="86"/>
    </row>
    <row r="102">
      <c r="A102" s="87" t="str">
        <f t="shared" si="74"/>
        <v>#REF!</v>
      </c>
      <c r="B102" s="88" t="str">
        <f t="shared" si="76"/>
        <v>#REF!</v>
      </c>
      <c r="C102" s="88" t="str">
        <f t="shared" ref="C102:E102" si="77">'Week 1 MASTER SHEET'!C102</f>
        <v>#REF!</v>
      </c>
      <c r="D102" s="88" t="str">
        <f t="shared" si="77"/>
        <v>#REF!</v>
      </c>
      <c r="E102" s="89" t="str">
        <f t="shared" si="77"/>
        <v>#REF!</v>
      </c>
      <c r="F102" s="52" t="s">
        <v>23</v>
      </c>
      <c r="G102" s="201"/>
      <c r="H102" s="87" t="str">
        <f t="shared" si="75"/>
        <v>#REF!</v>
      </c>
      <c r="I102" s="88" t="str">
        <f t="shared" si="78"/>
        <v>#REF!</v>
      </c>
      <c r="J102" s="88" t="str">
        <f t="shared" ref="J102:L102" si="79">'Week 1 MASTER SHEET'!J102</f>
        <v>#REF!</v>
      </c>
      <c r="K102" s="88" t="str">
        <f t="shared" si="79"/>
        <v>#REF!</v>
      </c>
      <c r="L102" s="89" t="str">
        <f t="shared" si="79"/>
        <v>#REF!</v>
      </c>
      <c r="M102" s="52" t="s">
        <v>23</v>
      </c>
    </row>
    <row r="103">
      <c r="A103" s="53" t="str">
        <f t="shared" si="74"/>
        <v>#REF!</v>
      </c>
      <c r="B103" s="90" t="str">
        <f t="shared" si="76"/>
        <v>#REF!</v>
      </c>
      <c r="C103" s="95" t="str">
        <f t="shared" ref="C103:E103" si="80">'Week 1 MASTER SHEET'!C103</f>
        <v>#REF!</v>
      </c>
      <c r="D103" s="74" t="str">
        <f t="shared" si="80"/>
        <v>#REF!</v>
      </c>
      <c r="E103" s="91" t="str">
        <f t="shared" si="80"/>
        <v>#REF!</v>
      </c>
      <c r="F103" s="76">
        <v>12.0</v>
      </c>
      <c r="H103" s="53" t="str">
        <f t="shared" si="75"/>
        <v>#REF!</v>
      </c>
      <c r="I103" s="90" t="str">
        <f t="shared" si="78"/>
        <v>#REF!</v>
      </c>
      <c r="J103" s="95" t="str">
        <f t="shared" ref="J103:L103" si="81">'Week 1 MASTER SHEET'!J103</f>
        <v>#REF!</v>
      </c>
      <c r="K103" s="74" t="str">
        <f t="shared" si="81"/>
        <v>#REF!</v>
      </c>
      <c r="L103" s="91" t="str">
        <f t="shared" si="81"/>
        <v>#REF!</v>
      </c>
      <c r="M103" s="76"/>
    </row>
    <row r="104">
      <c r="A104" s="53" t="str">
        <f t="shared" si="74"/>
        <v>#REF!</v>
      </c>
      <c r="B104" s="90" t="str">
        <f t="shared" si="76"/>
        <v>#REF!</v>
      </c>
      <c r="C104" s="95" t="str">
        <f t="shared" ref="C104:E104" si="82">'Week 1 MASTER SHEET'!C104</f>
        <v>#REF!</v>
      </c>
      <c r="D104" s="74" t="str">
        <f t="shared" si="82"/>
        <v>#REF!</v>
      </c>
      <c r="E104" s="91" t="str">
        <f t="shared" si="82"/>
        <v>#REF!</v>
      </c>
      <c r="F104" s="76">
        <v>10.0</v>
      </c>
      <c r="H104" s="53" t="str">
        <f t="shared" si="75"/>
        <v>#REF!</v>
      </c>
      <c r="I104" s="90" t="str">
        <f t="shared" si="78"/>
        <v>#REF!</v>
      </c>
      <c r="J104" s="95" t="str">
        <f t="shared" ref="J104:L104" si="83">'Week 1 MASTER SHEET'!J104</f>
        <v>#REF!</v>
      </c>
      <c r="K104" s="74" t="str">
        <f t="shared" si="83"/>
        <v>#REF!</v>
      </c>
      <c r="L104" s="91" t="str">
        <f t="shared" si="83"/>
        <v>#REF!</v>
      </c>
      <c r="M104" s="76"/>
    </row>
    <row r="105">
      <c r="A105" s="292" t="str">
        <f t="shared" si="74"/>
        <v>#REF!</v>
      </c>
      <c r="B105" s="90" t="str">
        <f t="shared" si="76"/>
        <v>#REF!</v>
      </c>
      <c r="C105" s="95" t="str">
        <f t="shared" ref="C105:E105" si="84">'Week 1 MASTER SHEET'!C105</f>
        <v>#REF!</v>
      </c>
      <c r="D105" s="74" t="str">
        <f t="shared" si="84"/>
        <v>#REF!</v>
      </c>
      <c r="E105" s="91" t="str">
        <f t="shared" si="84"/>
        <v>#REF!</v>
      </c>
      <c r="F105" s="76">
        <v>12.0</v>
      </c>
      <c r="H105" s="53" t="str">
        <f t="shared" si="75"/>
        <v>#REF!</v>
      </c>
      <c r="I105" s="90" t="str">
        <f t="shared" si="78"/>
        <v>#REF!</v>
      </c>
      <c r="J105" s="95" t="str">
        <f t="shared" ref="J105:L105" si="85">'Week 1 MASTER SHEET'!J105</f>
        <v>#REF!</v>
      </c>
      <c r="K105" s="74" t="str">
        <f t="shared" si="85"/>
        <v>#REF!</v>
      </c>
      <c r="L105" s="91" t="str">
        <f t="shared" si="85"/>
        <v>#REF!</v>
      </c>
      <c r="M105" s="76"/>
    </row>
    <row r="106">
      <c r="A106" s="298" t="str">
        <f t="shared" si="74"/>
        <v>#REF!</v>
      </c>
      <c r="B106" s="16"/>
      <c r="C106" s="16"/>
      <c r="D106" s="16"/>
      <c r="E106" s="16"/>
      <c r="F106" s="16"/>
      <c r="H106" s="239" t="str">
        <f t="shared" si="75"/>
        <v>#REF!</v>
      </c>
      <c r="I106" s="299" t="str">
        <f t="shared" si="78"/>
        <v>#REF!</v>
      </c>
      <c r="J106" s="24"/>
      <c r="K106" s="24"/>
      <c r="L106" s="24"/>
      <c r="M106" s="25"/>
    </row>
    <row r="107">
      <c r="A107" s="474" t="str">
        <f>'Week 1 MASTER SHEET'!A72</f>
        <v>#REF!</v>
      </c>
      <c r="B107" s="16"/>
      <c r="C107" s="16"/>
      <c r="D107" s="16"/>
      <c r="E107" s="16"/>
      <c r="F107" s="17"/>
      <c r="G107" s="391"/>
      <c r="N107" s="391"/>
    </row>
    <row r="108">
      <c r="A108" s="303"/>
      <c r="B108" s="2"/>
      <c r="C108" s="2"/>
      <c r="D108" s="2"/>
      <c r="E108" s="2"/>
      <c r="F108" s="37"/>
    </row>
    <row r="109">
      <c r="A109" s="475" t="str">
        <f>'Week 1 MASTER SHEET'!A109</f>
        <v>#REF!</v>
      </c>
      <c r="B109" s="2"/>
      <c r="C109" s="2"/>
      <c r="D109" s="2"/>
      <c r="E109" s="2"/>
      <c r="F109" s="37"/>
    </row>
    <row r="110">
      <c r="A110" s="301"/>
      <c r="B110" s="16"/>
      <c r="C110" s="16"/>
      <c r="D110" s="16"/>
      <c r="E110" s="16"/>
      <c r="F110" s="16"/>
      <c r="G110" s="391"/>
      <c r="H110" s="476" t="str">
        <f>'Week 1 MASTER SHEET'!H110</f>
        <v>#REF!</v>
      </c>
      <c r="I110" s="16"/>
      <c r="J110" s="16"/>
      <c r="K110" s="16"/>
      <c r="L110" s="16"/>
      <c r="M110" s="17"/>
      <c r="T110" s="391"/>
    </row>
    <row r="111">
      <c r="H111" s="303"/>
      <c r="I111" s="2"/>
      <c r="J111" s="2"/>
      <c r="K111" s="2"/>
      <c r="L111" s="2"/>
      <c r="M111" s="37"/>
    </row>
    <row r="112">
      <c r="A112" s="477" t="str">
        <f t="shared" ref="A112:A126" si="86">'Week 1 MASTER SHEET'!A112</f>
        <v>#REF!</v>
      </c>
      <c r="B112" s="27"/>
      <c r="C112" s="27"/>
      <c r="D112" s="27"/>
      <c r="E112" s="27"/>
      <c r="F112" s="28"/>
      <c r="H112" s="304" t="str">
        <f t="shared" ref="H112:H122" si="87">'Week 1 MASTER SHEET'!H112</f>
        <v>#REF!</v>
      </c>
      <c r="I112" s="27"/>
      <c r="J112" s="27"/>
      <c r="K112" s="27"/>
      <c r="L112" s="27"/>
      <c r="M112" s="28"/>
    </row>
    <row r="113">
      <c r="A113" s="478" t="str">
        <f t="shared" si="86"/>
        <v>#REF!</v>
      </c>
      <c r="B113" s="44"/>
      <c r="C113" s="44"/>
      <c r="D113" s="44"/>
      <c r="E113" s="44"/>
      <c r="F113" s="45"/>
      <c r="H113" s="479" t="str">
        <f t="shared" si="87"/>
        <v>#REF!</v>
      </c>
      <c r="I113" s="44"/>
      <c r="J113" s="44"/>
      <c r="K113" s="44"/>
      <c r="L113" s="44"/>
      <c r="M113" s="45"/>
    </row>
    <row r="114">
      <c r="A114" s="193" t="str">
        <f t="shared" si="86"/>
        <v>#REF!</v>
      </c>
      <c r="B114" s="194">
        <v>70.0</v>
      </c>
      <c r="C114" s="11"/>
      <c r="D114" s="11"/>
      <c r="E114" s="11"/>
      <c r="F114" s="86"/>
      <c r="H114" s="87" t="str">
        <f t="shared" si="87"/>
        <v>#REF!</v>
      </c>
      <c r="I114" s="88" t="str">
        <f t="shared" ref="I114:M114" si="88">'Week 1 MASTER SHEET'!I114</f>
        <v>#REF!</v>
      </c>
      <c r="J114" s="88" t="str">
        <f t="shared" si="88"/>
        <v>#REF!</v>
      </c>
      <c r="K114" s="88" t="str">
        <f t="shared" si="88"/>
        <v>#REF!</v>
      </c>
      <c r="L114" s="308" t="str">
        <f t="shared" si="88"/>
        <v>#REF!</v>
      </c>
      <c r="M114" s="202" t="str">
        <f t="shared" si="88"/>
        <v>#REF!</v>
      </c>
    </row>
    <row r="115">
      <c r="A115" s="198" t="str">
        <f t="shared" si="86"/>
        <v>#REF!</v>
      </c>
      <c r="B115" s="199" t="str">
        <f t="shared" ref="B115:E115" si="89">'Week 1 MASTER SHEET'!B115</f>
        <v>#REF!</v>
      </c>
      <c r="C115" s="199" t="str">
        <f t="shared" si="89"/>
        <v>#REF!</v>
      </c>
      <c r="D115" s="199" t="str">
        <f t="shared" si="89"/>
        <v>#REF!</v>
      </c>
      <c r="E115" s="200" t="str">
        <f t="shared" si="89"/>
        <v>#REF!</v>
      </c>
      <c r="F115" s="52" t="s">
        <v>23</v>
      </c>
      <c r="H115" s="309" t="str">
        <f t="shared" si="87"/>
        <v>#REF!</v>
      </c>
      <c r="I115" s="310" t="str">
        <f t="shared" ref="I115:L115" si="90">'Week 1 MASTER SHEET'!I115</f>
        <v>#REF!</v>
      </c>
      <c r="J115" s="311" t="str">
        <f t="shared" si="90"/>
        <v>#REF!</v>
      </c>
      <c r="K115" s="312" t="str">
        <f t="shared" si="90"/>
        <v>#REF!</v>
      </c>
      <c r="L115" s="313" t="str">
        <f t="shared" si="90"/>
        <v>#REF!</v>
      </c>
      <c r="M115" s="76"/>
    </row>
    <row r="116">
      <c r="A116" s="203" t="str">
        <f t="shared" si="86"/>
        <v>#REF!</v>
      </c>
      <c r="B116" s="204" t="str">
        <f t="shared" ref="B116:E116" si="91">'Week 1 MASTER SHEET'!B116</f>
        <v>#REF!</v>
      </c>
      <c r="C116" s="204" t="str">
        <f t="shared" si="91"/>
        <v>#REF!</v>
      </c>
      <c r="D116" s="205" t="str">
        <f t="shared" si="91"/>
        <v>#REF!</v>
      </c>
      <c r="E116" s="57" t="str">
        <f t="shared" si="91"/>
        <v>#REF!</v>
      </c>
      <c r="F116" s="58">
        <v>0.0</v>
      </c>
      <c r="H116" s="309" t="str">
        <f t="shared" si="87"/>
        <v>#REF!</v>
      </c>
      <c r="I116" s="315" t="str">
        <f t="shared" ref="I116:L116" si="92">'Week 1 MASTER SHEET'!I116</f>
        <v>#REF!</v>
      </c>
      <c r="J116" s="311" t="str">
        <f t="shared" si="92"/>
        <v>#REF!</v>
      </c>
      <c r="K116" s="312" t="str">
        <f t="shared" si="92"/>
        <v>#REF!</v>
      </c>
      <c r="L116" s="313" t="str">
        <f t="shared" si="92"/>
        <v>#REF!</v>
      </c>
      <c r="M116" s="76"/>
    </row>
    <row r="117">
      <c r="A117" s="203" t="str">
        <f t="shared" si="86"/>
        <v>#REF!</v>
      </c>
      <c r="B117" s="204" t="str">
        <f t="shared" ref="B117:E117" si="93">'Week 1 MASTER SHEET'!B117</f>
        <v>#REF!</v>
      </c>
      <c r="C117" s="204" t="str">
        <f t="shared" si="93"/>
        <v>#REF!</v>
      </c>
      <c r="D117" s="205" t="str">
        <f t="shared" si="93"/>
        <v>#REF!</v>
      </c>
      <c r="E117" s="57" t="str">
        <f t="shared" si="93"/>
        <v>#REF!</v>
      </c>
      <c r="F117" s="58">
        <v>0.0</v>
      </c>
      <c r="H117" s="309" t="str">
        <f t="shared" si="87"/>
        <v>#REF!</v>
      </c>
      <c r="I117" s="315" t="str">
        <f t="shared" ref="I117:L117" si="94">'Week 1 MASTER SHEET'!I117</f>
        <v>#REF!</v>
      </c>
      <c r="J117" s="311" t="str">
        <f t="shared" si="94"/>
        <v>#REF!</v>
      </c>
      <c r="K117" s="312" t="str">
        <f t="shared" si="94"/>
        <v>#REF!</v>
      </c>
      <c r="L117" s="313" t="str">
        <f t="shared" si="94"/>
        <v>#REF!</v>
      </c>
      <c r="M117" s="76"/>
    </row>
    <row r="118">
      <c r="A118" s="209" t="str">
        <f t="shared" si="86"/>
        <v>#REF!</v>
      </c>
      <c r="B118" s="204" t="str">
        <f t="shared" ref="B118:E118" si="95">'Week 1 MASTER SHEET'!B118</f>
        <v>#REF!</v>
      </c>
      <c r="C118" s="73" t="str">
        <f t="shared" si="95"/>
        <v>#REF!</v>
      </c>
      <c r="D118" s="205" t="str">
        <f t="shared" si="95"/>
        <v>#REF!</v>
      </c>
      <c r="E118" s="57" t="str">
        <f t="shared" si="95"/>
        <v>#REF!</v>
      </c>
      <c r="F118" s="58">
        <v>0.0</v>
      </c>
      <c r="H118" s="309" t="str">
        <f t="shared" si="87"/>
        <v>#REF!</v>
      </c>
      <c r="I118" s="315" t="str">
        <f t="shared" ref="I118:L118" si="96">'Week 1 MASTER SHEET'!I118</f>
        <v>#REF!</v>
      </c>
      <c r="J118" s="311" t="str">
        <f t="shared" si="96"/>
        <v>#REF!</v>
      </c>
      <c r="K118" s="312" t="str">
        <f t="shared" si="96"/>
        <v>#REF!</v>
      </c>
      <c r="L118" s="313" t="str">
        <f t="shared" si="96"/>
        <v>#REF!</v>
      </c>
      <c r="M118" s="76"/>
    </row>
    <row r="119">
      <c r="A119" s="210" t="str">
        <f t="shared" si="86"/>
        <v>#REF!</v>
      </c>
      <c r="B119" s="204" t="str">
        <f t="shared" ref="B119:E119" si="97">'Week 1 MASTER SHEET'!B119</f>
        <v>#REF!</v>
      </c>
      <c r="C119" s="142" t="str">
        <f t="shared" si="97"/>
        <v>#REF!</v>
      </c>
      <c r="D119" s="205" t="str">
        <f t="shared" si="97"/>
        <v>#REF!</v>
      </c>
      <c r="E119" s="57" t="str">
        <f t="shared" si="97"/>
        <v>#REF!</v>
      </c>
      <c r="F119" s="58">
        <v>0.0</v>
      </c>
      <c r="H119" s="309" t="str">
        <f t="shared" si="87"/>
        <v>#REF!</v>
      </c>
      <c r="I119" s="315" t="str">
        <f t="shared" ref="I119:L119" si="98">'Week 1 MASTER SHEET'!I119</f>
        <v>#REF!</v>
      </c>
      <c r="J119" s="311" t="str">
        <f t="shared" si="98"/>
        <v>#REF!</v>
      </c>
      <c r="K119" s="312" t="str">
        <f t="shared" si="98"/>
        <v>#REF!</v>
      </c>
      <c r="L119" s="313" t="str">
        <f t="shared" si="98"/>
        <v>#REF!</v>
      </c>
      <c r="M119" s="76"/>
    </row>
    <row r="120">
      <c r="A120" s="213" t="str">
        <f t="shared" si="86"/>
        <v>#REF!</v>
      </c>
      <c r="B120" s="11"/>
      <c r="C120" s="11"/>
      <c r="D120" s="11"/>
      <c r="E120" s="11"/>
      <c r="F120" s="86"/>
      <c r="H120" s="309" t="str">
        <f t="shared" si="87"/>
        <v>#REF!</v>
      </c>
      <c r="I120" s="315" t="str">
        <f t="shared" ref="I120:K120" si="99">'Week 1 MASTER SHEET'!I120</f>
        <v>#REF!</v>
      </c>
      <c r="J120" s="311" t="str">
        <f t="shared" si="99"/>
        <v>#REF!</v>
      </c>
      <c r="K120" s="312" t="str">
        <f t="shared" si="99"/>
        <v>#REF!</v>
      </c>
      <c r="L120" s="318"/>
      <c r="M120" s="76"/>
    </row>
    <row r="121">
      <c r="A121" s="216" t="str">
        <f t="shared" si="86"/>
        <v>#REF!</v>
      </c>
      <c r="B121" s="142" t="str">
        <f t="shared" ref="B121:E121" si="100">'Week 1 MASTER SHEET'!B121</f>
        <v>#REF!</v>
      </c>
      <c r="C121" s="205" t="str">
        <f t="shared" si="100"/>
        <v>#REF!</v>
      </c>
      <c r="D121" s="205" t="str">
        <f t="shared" si="100"/>
        <v>#REF!</v>
      </c>
      <c r="E121" s="217" t="str">
        <f t="shared" si="100"/>
        <v>#REF!</v>
      </c>
      <c r="F121" s="58"/>
      <c r="H121" s="319" t="str">
        <f t="shared" si="87"/>
        <v>#REF!</v>
      </c>
      <c r="I121" s="320" t="str">
        <f t="shared" ref="I121:L121" si="101">'Week 1 MASTER SHEET'!I121</f>
        <v>#REF!</v>
      </c>
      <c r="J121" s="321" t="str">
        <f t="shared" si="101"/>
        <v>#REF!</v>
      </c>
      <c r="K121" s="322" t="str">
        <f t="shared" si="101"/>
        <v>#REF!</v>
      </c>
      <c r="L121" s="323" t="str">
        <f t="shared" si="101"/>
        <v>#REF!</v>
      </c>
      <c r="M121" s="76"/>
    </row>
    <row r="122">
      <c r="A122" s="226" t="str">
        <f t="shared" si="86"/>
        <v>#REF!</v>
      </c>
      <c r="B122" s="204" t="str">
        <f t="shared" ref="B122:E122" si="102">'Week 1 MASTER SHEET'!B122</f>
        <v>#REF!</v>
      </c>
      <c r="C122" s="224" t="str">
        <f t="shared" si="102"/>
        <v>#REF!</v>
      </c>
      <c r="D122" s="224" t="str">
        <f t="shared" si="102"/>
        <v>#REF!</v>
      </c>
      <c r="E122" s="225" t="str">
        <f t="shared" si="102"/>
        <v>#REF!</v>
      </c>
      <c r="F122" s="58"/>
      <c r="H122" s="480" t="str">
        <f t="shared" si="87"/>
        <v>#REF!</v>
      </c>
      <c r="I122" s="325" t="str">
        <f>'Week 1 MASTER SHEET'!I122</f>
        <v>#REF!</v>
      </c>
      <c r="J122" s="27"/>
      <c r="K122" s="27"/>
      <c r="L122" s="27"/>
      <c r="M122" s="28"/>
    </row>
    <row r="123">
      <c r="A123" s="213" t="str">
        <f t="shared" si="86"/>
        <v>#REF!</v>
      </c>
      <c r="B123" s="11"/>
      <c r="C123" s="11"/>
      <c r="D123" s="11"/>
      <c r="E123" s="11"/>
      <c r="F123" s="86"/>
      <c r="G123" s="391"/>
    </row>
    <row r="124">
      <c r="A124" s="231" t="str">
        <f t="shared" si="86"/>
        <v>#REF!</v>
      </c>
      <c r="B124" s="232" t="str">
        <f t="shared" ref="B124:E124" si="103">'Week 1 MASTER SHEET'!B124</f>
        <v>#REF!</v>
      </c>
      <c r="C124" s="233" t="str">
        <f t="shared" si="103"/>
        <v>#REF!</v>
      </c>
      <c r="D124" s="234" t="str">
        <f t="shared" si="103"/>
        <v>#REF!</v>
      </c>
      <c r="E124" s="235" t="str">
        <f t="shared" si="103"/>
        <v>#REF!</v>
      </c>
      <c r="F124" s="76">
        <v>0.0</v>
      </c>
    </row>
    <row r="125">
      <c r="A125" s="231" t="str">
        <f t="shared" si="86"/>
        <v>#REF!</v>
      </c>
      <c r="B125" s="204" t="str">
        <f t="shared" ref="B125:E125" si="104">'Week 1 MASTER SHEET'!B125</f>
        <v>#REF!</v>
      </c>
      <c r="C125" s="212" t="str">
        <f t="shared" si="104"/>
        <v>#REF!</v>
      </c>
      <c r="D125" s="56" t="str">
        <f t="shared" si="104"/>
        <v>#REF!</v>
      </c>
      <c r="E125" s="225" t="str">
        <f t="shared" si="104"/>
        <v>#REF!</v>
      </c>
      <c r="F125" s="76">
        <v>0.0</v>
      </c>
    </row>
    <row r="126">
      <c r="A126" s="239" t="str">
        <f t="shared" si="86"/>
        <v>#REF!</v>
      </c>
      <c r="B126" s="240" t="str">
        <f>'Week 1 MASTER SHEET'!B126</f>
        <v>#REF!</v>
      </c>
      <c r="C126" s="2"/>
      <c r="D126" s="2"/>
      <c r="E126" s="2"/>
      <c r="F126" s="37"/>
    </row>
    <row r="127">
      <c r="A127" s="481"/>
    </row>
    <row r="128">
      <c r="A128" s="482" t="str">
        <f t="shared" ref="A128:A133" si="105">'Week 1 MASTER SHEET'!A128</f>
        <v>#REF!</v>
      </c>
      <c r="B128" s="44"/>
      <c r="C128" s="44"/>
      <c r="D128" s="44"/>
      <c r="E128" s="44"/>
      <c r="F128" s="45"/>
      <c r="G128" s="391"/>
      <c r="H128" s="482" t="str">
        <f t="shared" ref="H128:H133" si="106">'Week 1 MASTER SHEET'!H128</f>
        <v>#REF!</v>
      </c>
      <c r="I128" s="44"/>
      <c r="J128" s="44"/>
      <c r="K128" s="44"/>
      <c r="L128" s="44"/>
      <c r="M128" s="45"/>
    </row>
    <row r="129">
      <c r="A129" s="193" t="str">
        <f t="shared" si="105"/>
        <v>#REF!</v>
      </c>
      <c r="B129" s="85" t="str">
        <f t="shared" ref="B129:B133" si="107">'Week 1 MASTER SHEET'!B129</f>
        <v>#REF!</v>
      </c>
      <c r="C129" s="11"/>
      <c r="D129" s="11"/>
      <c r="E129" s="11"/>
      <c r="F129" s="86"/>
      <c r="G129" s="391"/>
      <c r="H129" s="193" t="str">
        <f t="shared" si="106"/>
        <v>#REF!</v>
      </c>
      <c r="I129" s="85" t="str">
        <f t="shared" ref="I129:I133" si="109">'Week 1 MASTER SHEET'!I129</f>
        <v>#REF!</v>
      </c>
      <c r="J129" s="11"/>
      <c r="K129" s="11"/>
      <c r="L129" s="11"/>
      <c r="M129" s="86"/>
    </row>
    <row r="130">
      <c r="A130" s="87" t="str">
        <f t="shared" si="105"/>
        <v>#REF!</v>
      </c>
      <c r="B130" s="88" t="str">
        <f t="shared" si="107"/>
        <v>#REF!</v>
      </c>
      <c r="C130" s="88" t="str">
        <f t="shared" ref="C130:E130" si="108">'Week 1 MASTER SHEET'!C130</f>
        <v>#REF!</v>
      </c>
      <c r="D130" s="88" t="str">
        <f t="shared" si="108"/>
        <v>#REF!</v>
      </c>
      <c r="E130" s="483" t="str">
        <f t="shared" si="108"/>
        <v>#REF!</v>
      </c>
      <c r="F130" s="52" t="s">
        <v>23</v>
      </c>
      <c r="G130" s="391"/>
      <c r="H130" s="87" t="str">
        <f t="shared" si="106"/>
        <v>#REF!</v>
      </c>
      <c r="I130" s="88" t="str">
        <f t="shared" si="109"/>
        <v>#REF!</v>
      </c>
      <c r="J130" s="88" t="str">
        <f t="shared" ref="J130:L130" si="110">'Week 1 MASTER SHEET'!J130</f>
        <v>#REF!</v>
      </c>
      <c r="K130" s="88" t="str">
        <f t="shared" si="110"/>
        <v>#REF!</v>
      </c>
      <c r="L130" s="483" t="str">
        <f t="shared" si="110"/>
        <v>#REF!</v>
      </c>
      <c r="M130" s="52" t="s">
        <v>23</v>
      </c>
    </row>
    <row r="131">
      <c r="A131" s="203" t="str">
        <f t="shared" si="105"/>
        <v>#REF!</v>
      </c>
      <c r="B131" s="204" t="str">
        <f t="shared" si="107"/>
        <v>#REF!</v>
      </c>
      <c r="C131" s="204" t="str">
        <f t="shared" ref="C131:E131" si="111">'Week 1 MASTER SHEET'!C131</f>
        <v>#REF!</v>
      </c>
      <c r="D131" s="204" t="str">
        <f t="shared" si="111"/>
        <v>#REF!</v>
      </c>
      <c r="E131" s="484" t="str">
        <f t="shared" si="111"/>
        <v>#REF!</v>
      </c>
      <c r="F131" s="76"/>
      <c r="G131" s="485" t="str">
        <f>'Week 1 MASTER SHEET'!G129</f>
        <v>#REF!</v>
      </c>
      <c r="H131" s="203" t="str">
        <f t="shared" si="106"/>
        <v>#REF!</v>
      </c>
      <c r="I131" s="204" t="str">
        <f t="shared" si="109"/>
        <v>#REF!</v>
      </c>
      <c r="J131" s="204" t="str">
        <f t="shared" ref="J131:L131" si="112">'Week 1 MASTER SHEET'!J131</f>
        <v>#REF!</v>
      </c>
      <c r="K131" s="204" t="str">
        <f t="shared" si="112"/>
        <v>#REF!</v>
      </c>
      <c r="L131" s="484" t="str">
        <f t="shared" si="112"/>
        <v>#REF!</v>
      </c>
      <c r="M131" s="76"/>
    </row>
    <row r="132">
      <c r="A132" s="203" t="str">
        <f t="shared" si="105"/>
        <v>#REF!</v>
      </c>
      <c r="B132" s="204" t="str">
        <f t="shared" si="107"/>
        <v>#REF!</v>
      </c>
      <c r="C132" s="204" t="str">
        <f t="shared" ref="C132:E132" si="113">'Week 1 MASTER SHEET'!C132</f>
        <v>#REF!</v>
      </c>
      <c r="D132" s="204" t="str">
        <f t="shared" si="113"/>
        <v>#REF!</v>
      </c>
      <c r="E132" s="484" t="str">
        <f t="shared" si="113"/>
        <v>#REF!</v>
      </c>
      <c r="F132" s="76"/>
      <c r="H132" s="203" t="str">
        <f t="shared" si="106"/>
        <v>#REF!</v>
      </c>
      <c r="I132" s="204" t="str">
        <f t="shared" si="109"/>
        <v>#REF!</v>
      </c>
      <c r="J132" s="204" t="str">
        <f t="shared" ref="J132:L132" si="114">'Week 1 MASTER SHEET'!J132</f>
        <v>#REF!</v>
      </c>
      <c r="K132" s="204" t="str">
        <f t="shared" si="114"/>
        <v>#REF!</v>
      </c>
      <c r="L132" s="484" t="str">
        <f t="shared" si="114"/>
        <v>#REF!</v>
      </c>
      <c r="M132" s="76"/>
    </row>
    <row r="133">
      <c r="A133" s="486" t="str">
        <f t="shared" si="105"/>
        <v>#REF!</v>
      </c>
      <c r="B133" s="338" t="str">
        <f t="shared" si="107"/>
        <v>#REF!</v>
      </c>
      <c r="C133" s="338" t="str">
        <f t="shared" ref="C133:E133" si="115">'Week 1 MASTER SHEET'!C133</f>
        <v>#REF!</v>
      </c>
      <c r="D133" s="338" t="str">
        <f t="shared" si="115"/>
        <v>#REF!</v>
      </c>
      <c r="E133" s="487" t="str">
        <f t="shared" si="115"/>
        <v>#REF!</v>
      </c>
      <c r="F133" s="76"/>
      <c r="G133" s="391"/>
      <c r="H133" s="486" t="str">
        <f t="shared" si="106"/>
        <v>#REF!</v>
      </c>
      <c r="I133" s="338" t="str">
        <f t="shared" si="109"/>
        <v>#REF!</v>
      </c>
      <c r="J133" s="338" t="str">
        <f t="shared" ref="J133:L133" si="116">'Week 1 MASTER SHEET'!J133</f>
        <v>#REF!</v>
      </c>
      <c r="K133" s="338" t="str">
        <f t="shared" si="116"/>
        <v>#REF!</v>
      </c>
      <c r="L133" s="487" t="str">
        <f t="shared" si="116"/>
        <v>#REF!</v>
      </c>
      <c r="M133" s="76"/>
    </row>
    <row r="134" ht="16.5" customHeight="1">
      <c r="A134" s="488"/>
      <c r="G134" s="391"/>
      <c r="H134" s="391"/>
      <c r="I134" s="391"/>
      <c r="J134" s="391"/>
      <c r="K134" s="391"/>
      <c r="L134" s="391"/>
      <c r="M134" s="391"/>
    </row>
    <row r="135">
      <c r="G135" s="391"/>
      <c r="H135" s="391"/>
      <c r="I135" s="391"/>
      <c r="J135" s="391"/>
      <c r="K135" s="391"/>
      <c r="L135" s="391"/>
      <c r="M135" s="391"/>
    </row>
    <row r="136">
      <c r="A136" s="489" t="str">
        <f t="shared" ref="A136:A141" si="117">'Week 1 MASTER SHEET'!A136</f>
        <v>#REF!</v>
      </c>
      <c r="B136" s="44"/>
      <c r="C136" s="44"/>
      <c r="D136" s="44"/>
      <c r="E136" s="44"/>
      <c r="F136" s="45"/>
    </row>
    <row r="137">
      <c r="A137" s="193" t="str">
        <f t="shared" si="117"/>
        <v>#REF!</v>
      </c>
      <c r="B137" s="81" t="str">
        <f t="shared" ref="B137:B141" si="118">'Week 1 MASTER SHEET'!B137</f>
        <v>#REF!</v>
      </c>
      <c r="C137" s="4"/>
      <c r="D137" s="4"/>
      <c r="E137" s="4"/>
      <c r="F137" s="48"/>
    </row>
    <row r="138">
      <c r="A138" s="343" t="str">
        <f t="shared" si="117"/>
        <v>#REF!</v>
      </c>
      <c r="B138" s="70" t="str">
        <f t="shared" si="118"/>
        <v>#REF!</v>
      </c>
      <c r="C138" s="70" t="str">
        <f t="shared" ref="C138:E138" si="119">'Week 1 MASTER SHEET'!C138</f>
        <v>#REF!</v>
      </c>
      <c r="D138" s="70" t="str">
        <f t="shared" si="119"/>
        <v>#REF!</v>
      </c>
      <c r="E138" s="308" t="str">
        <f t="shared" si="119"/>
        <v>#REF!</v>
      </c>
      <c r="F138" s="52" t="s">
        <v>23</v>
      </c>
    </row>
    <row r="139">
      <c r="A139" s="490" t="str">
        <f t="shared" si="117"/>
        <v>#REF!</v>
      </c>
      <c r="B139" s="491" t="str">
        <f t="shared" si="118"/>
        <v>#REF!</v>
      </c>
      <c r="C139" s="491" t="str">
        <f t="shared" ref="C139:E139" si="120">'Week 1 MASTER SHEET'!C139</f>
        <v>#REF!</v>
      </c>
      <c r="D139" s="491" t="str">
        <f t="shared" si="120"/>
        <v>#REF!</v>
      </c>
      <c r="E139" s="492" t="str">
        <f t="shared" si="120"/>
        <v>#REF!</v>
      </c>
      <c r="F139" s="76"/>
    </row>
    <row r="140">
      <c r="A140" s="490" t="str">
        <f t="shared" si="117"/>
        <v>#REF!</v>
      </c>
      <c r="B140" s="491" t="str">
        <f t="shared" si="118"/>
        <v>#REF!</v>
      </c>
      <c r="C140" s="491" t="str">
        <f t="shared" ref="C140:E140" si="121">'Week 1 MASTER SHEET'!C140</f>
        <v>#REF!</v>
      </c>
      <c r="D140" s="491" t="str">
        <f t="shared" si="121"/>
        <v>#REF!</v>
      </c>
      <c r="E140" s="492" t="str">
        <f t="shared" si="121"/>
        <v>#REF!</v>
      </c>
      <c r="F140" s="76"/>
    </row>
    <row r="141">
      <c r="A141" s="493" t="str">
        <f t="shared" si="117"/>
        <v>#REF!</v>
      </c>
      <c r="B141" s="494" t="str">
        <f t="shared" si="118"/>
        <v>#REF!</v>
      </c>
      <c r="C141" s="494" t="str">
        <f t="shared" ref="C141:E141" si="122">'Week 1 MASTER SHEET'!C141</f>
        <v>#REF!</v>
      </c>
      <c r="D141" s="494" t="str">
        <f t="shared" si="122"/>
        <v>#REF!</v>
      </c>
      <c r="E141" s="495" t="str">
        <f t="shared" si="122"/>
        <v>#REF!</v>
      </c>
      <c r="F141" s="76"/>
    </row>
    <row r="142">
      <c r="A142" s="488"/>
    </row>
    <row r="144">
      <c r="A144" s="482" t="str">
        <f t="shared" ref="A144:A149" si="123">'Week 1 MASTER SHEET'!A144</f>
        <v>#REF!</v>
      </c>
      <c r="B144" s="44"/>
      <c r="C144" s="44"/>
      <c r="D144" s="44"/>
      <c r="E144" s="44"/>
      <c r="F144" s="45"/>
    </row>
    <row r="145">
      <c r="A145" s="193" t="str">
        <f t="shared" si="123"/>
        <v>#REF!</v>
      </c>
      <c r="B145" s="496">
        <v>100.0</v>
      </c>
      <c r="C145" s="4"/>
      <c r="D145" s="4"/>
      <c r="E145" s="4"/>
      <c r="F145" s="48"/>
    </row>
    <row r="146">
      <c r="A146" s="68" t="str">
        <f t="shared" si="123"/>
        <v>#REF!</v>
      </c>
      <c r="B146" s="69" t="str">
        <f t="shared" ref="B146:E146" si="124">'Week 1 MASTER SHEET'!B146</f>
        <v>#REF!</v>
      </c>
      <c r="C146" s="69" t="str">
        <f t="shared" si="124"/>
        <v>#REF!</v>
      </c>
      <c r="D146" s="69" t="str">
        <f t="shared" si="124"/>
        <v>#REF!</v>
      </c>
      <c r="E146" s="71" t="str">
        <f t="shared" si="124"/>
        <v>#REF!</v>
      </c>
      <c r="F146" s="202" t="s">
        <v>23</v>
      </c>
    </row>
    <row r="147">
      <c r="A147" s="72" t="str">
        <f t="shared" si="123"/>
        <v>#REF!</v>
      </c>
      <c r="B147" s="73" t="str">
        <f t="shared" ref="B147:D147" si="125">'Week 1 MASTER SHEET'!B147</f>
        <v>#REF!</v>
      </c>
      <c r="C147" s="56" t="str">
        <f t="shared" si="125"/>
        <v>#REF!</v>
      </c>
      <c r="D147" s="74" t="str">
        <f t="shared" si="125"/>
        <v>#REF!</v>
      </c>
      <c r="E147" s="75"/>
      <c r="F147" s="76">
        <v>0.0</v>
      </c>
    </row>
    <row r="148">
      <c r="A148" s="72" t="str">
        <f t="shared" si="123"/>
        <v>#REF!</v>
      </c>
      <c r="B148" s="73" t="str">
        <f t="shared" ref="B148:D148" si="126">'Week 1 MASTER SHEET'!B148</f>
        <v>#REF!</v>
      </c>
      <c r="C148" s="56" t="str">
        <f t="shared" si="126"/>
        <v>#REF!</v>
      </c>
      <c r="D148" s="74" t="str">
        <f t="shared" si="126"/>
        <v>#REF!</v>
      </c>
      <c r="E148" s="75"/>
      <c r="F148" s="76">
        <v>0.0</v>
      </c>
    </row>
    <row r="149">
      <c r="A149" s="77" t="str">
        <f t="shared" si="123"/>
        <v>#REF!</v>
      </c>
      <c r="B149" s="78" t="str">
        <f t="shared" ref="B149:E149" si="127">'Week 1 MASTER SHEET'!B149</f>
        <v>#REF!</v>
      </c>
      <c r="C149" s="62" t="str">
        <f t="shared" si="127"/>
        <v>#REF!</v>
      </c>
      <c r="D149" s="79" t="str">
        <f t="shared" si="127"/>
        <v>#REF!</v>
      </c>
      <c r="E149" s="80" t="str">
        <f t="shared" si="127"/>
        <v>#REF!</v>
      </c>
      <c r="F149" s="76">
        <v>0.0</v>
      </c>
    </row>
    <row r="152">
      <c r="A152" s="367" t="str">
        <f t="shared" ref="A152:A153" si="128">'Week 1 MASTER SHEET'!A152</f>
        <v>#REF!</v>
      </c>
      <c r="B152" s="16"/>
      <c r="C152" s="16"/>
      <c r="D152" s="16"/>
      <c r="E152" s="16"/>
      <c r="F152" s="17"/>
      <c r="G152" s="403" t="s">
        <v>90</v>
      </c>
      <c r="H152" s="367" t="str">
        <f t="shared" ref="H152:H153" si="129">'Week 1 MASTER SHEET'!H152</f>
        <v>#REF!</v>
      </c>
      <c r="I152" s="16"/>
      <c r="J152" s="16"/>
      <c r="K152" s="16"/>
      <c r="L152" s="16"/>
      <c r="M152" s="17"/>
    </row>
    <row r="153">
      <c r="A153" s="476" t="str">
        <f t="shared" si="128"/>
        <v>#REF!</v>
      </c>
      <c r="B153" s="16"/>
      <c r="C153" s="16"/>
      <c r="D153" s="16"/>
      <c r="E153" s="16"/>
      <c r="F153" s="17"/>
      <c r="H153" s="476" t="str">
        <f t="shared" si="129"/>
        <v>#REF!</v>
      </c>
      <c r="I153" s="16"/>
      <c r="J153" s="16"/>
      <c r="K153" s="16"/>
      <c r="L153" s="16"/>
      <c r="M153" s="17"/>
    </row>
    <row r="154">
      <c r="A154" s="303"/>
      <c r="B154" s="2"/>
      <c r="C154" s="2"/>
      <c r="D154" s="2"/>
      <c r="E154" s="2"/>
      <c r="F154" s="37"/>
      <c r="H154" s="303"/>
      <c r="I154" s="2"/>
      <c r="J154" s="2"/>
      <c r="K154" s="2"/>
      <c r="L154" s="2"/>
      <c r="M154" s="37"/>
    </row>
    <row r="155">
      <c r="A155" s="368" t="str">
        <f t="shared" ref="A155:E155" si="130">'Week 1 MASTER SHEET'!A155</f>
        <v>#REF!</v>
      </c>
      <c r="B155" s="369" t="str">
        <f t="shared" si="130"/>
        <v>#REF!</v>
      </c>
      <c r="C155" s="369" t="str">
        <f t="shared" si="130"/>
        <v>#REF!</v>
      </c>
      <c r="D155" s="370" t="str">
        <f t="shared" si="130"/>
        <v>#REF!</v>
      </c>
      <c r="E155" s="371" t="str">
        <f t="shared" si="130"/>
        <v>#REF!</v>
      </c>
      <c r="F155" s="52" t="s">
        <v>23</v>
      </c>
      <c r="H155" s="368" t="str">
        <f t="shared" ref="H155:L155" si="131">'Week 1 MASTER SHEET'!H155</f>
        <v>#REF!</v>
      </c>
      <c r="I155" s="369" t="str">
        <f t="shared" si="131"/>
        <v>#REF!</v>
      </c>
      <c r="J155" s="369" t="str">
        <f t="shared" si="131"/>
        <v>#REF!</v>
      </c>
      <c r="K155" s="370" t="str">
        <f t="shared" si="131"/>
        <v>#REF!</v>
      </c>
      <c r="L155" s="371" t="str">
        <f t="shared" si="131"/>
        <v>#REF!</v>
      </c>
      <c r="M155" s="52" t="s">
        <v>23</v>
      </c>
    </row>
    <row r="156">
      <c r="A156" s="372" t="str">
        <f t="shared" ref="A156:E156" si="132">'Week 1 MASTER SHEET'!A156</f>
        <v>#REF!</v>
      </c>
      <c r="B156" s="158" t="str">
        <f t="shared" si="132"/>
        <v>#REF!</v>
      </c>
      <c r="C156" s="138" t="str">
        <f t="shared" si="132"/>
        <v>#REF!</v>
      </c>
      <c r="D156" s="373" t="str">
        <f t="shared" si="132"/>
        <v>#REF!</v>
      </c>
      <c r="E156" s="374" t="str">
        <f t="shared" si="132"/>
        <v>#REF!</v>
      </c>
      <c r="F156" s="497">
        <v>10.0</v>
      </c>
      <c r="H156" s="372" t="str">
        <f t="shared" ref="H156:L156" si="133">'Week 1 MASTER SHEET'!H156</f>
        <v>#REF!</v>
      </c>
      <c r="I156" s="158" t="str">
        <f t="shared" si="133"/>
        <v>#REF!</v>
      </c>
      <c r="J156" s="138" t="str">
        <f t="shared" si="133"/>
        <v>#REF!</v>
      </c>
      <c r="K156" s="373" t="str">
        <f t="shared" si="133"/>
        <v>#REF!</v>
      </c>
      <c r="L156" s="374" t="str">
        <f t="shared" si="133"/>
        <v>#REF!</v>
      </c>
      <c r="M156" s="375"/>
    </row>
    <row r="157">
      <c r="A157" s="372" t="str">
        <f t="shared" ref="A157:E157" si="134">'Week 1 MASTER SHEET'!A157</f>
        <v>#REF!</v>
      </c>
      <c r="B157" s="158" t="str">
        <f t="shared" si="134"/>
        <v>#REF!</v>
      </c>
      <c r="C157" s="138" t="str">
        <f t="shared" si="134"/>
        <v>#REF!</v>
      </c>
      <c r="D157" s="373" t="str">
        <f t="shared" si="134"/>
        <v>#REF!</v>
      </c>
      <c r="E157" s="374" t="str">
        <f t="shared" si="134"/>
        <v>#REF!</v>
      </c>
      <c r="F157" s="497">
        <v>10.0</v>
      </c>
      <c r="H157" s="372" t="str">
        <f t="shared" ref="H157:L157" si="135">'Week 1 MASTER SHEET'!H157</f>
        <v>#REF!</v>
      </c>
      <c r="I157" s="158" t="str">
        <f t="shared" si="135"/>
        <v>#REF!</v>
      </c>
      <c r="J157" s="138" t="str">
        <f t="shared" si="135"/>
        <v>#REF!</v>
      </c>
      <c r="K157" s="373" t="str">
        <f t="shared" si="135"/>
        <v>#REF!</v>
      </c>
      <c r="L157" s="374" t="str">
        <f t="shared" si="135"/>
        <v>#REF!</v>
      </c>
      <c r="M157" s="375"/>
    </row>
    <row r="158">
      <c r="A158" s="372" t="str">
        <f t="shared" ref="A158:E158" si="136">'Week 1 MASTER SHEET'!A158</f>
        <v>#REF!</v>
      </c>
      <c r="B158" s="158" t="str">
        <f t="shared" si="136"/>
        <v>#REF!</v>
      </c>
      <c r="C158" s="138" t="str">
        <f t="shared" si="136"/>
        <v>#REF!</v>
      </c>
      <c r="D158" s="373" t="str">
        <f t="shared" si="136"/>
        <v>#REF!</v>
      </c>
      <c r="E158" s="374" t="str">
        <f t="shared" si="136"/>
        <v>#REF!</v>
      </c>
      <c r="F158" s="497">
        <v>10.0</v>
      </c>
      <c r="H158" s="372" t="str">
        <f t="shared" ref="H158:L158" si="137">'Week 1 MASTER SHEET'!H158</f>
        <v>#REF!</v>
      </c>
      <c r="I158" s="158" t="str">
        <f t="shared" si="137"/>
        <v>#REF!</v>
      </c>
      <c r="J158" s="138" t="str">
        <f t="shared" si="137"/>
        <v>#REF!</v>
      </c>
      <c r="K158" s="373" t="str">
        <f t="shared" si="137"/>
        <v>#REF!</v>
      </c>
      <c r="L158" s="374" t="str">
        <f t="shared" si="137"/>
        <v>#REF!</v>
      </c>
      <c r="M158" s="375"/>
    </row>
    <row r="159">
      <c r="A159" s="372" t="str">
        <f t="shared" ref="A159:E159" si="138">'Week 1 MASTER SHEET'!A159</f>
        <v>#REF!</v>
      </c>
      <c r="B159" s="158" t="str">
        <f t="shared" si="138"/>
        <v>#REF!</v>
      </c>
      <c r="C159" s="138" t="str">
        <f t="shared" si="138"/>
        <v>#REF!</v>
      </c>
      <c r="D159" s="373" t="str">
        <f t="shared" si="138"/>
        <v>#REF!</v>
      </c>
      <c r="E159" s="374" t="str">
        <f t="shared" si="138"/>
        <v>#REF!</v>
      </c>
      <c r="F159" s="375"/>
      <c r="H159" s="372" t="str">
        <f t="shared" ref="H159:L159" si="139">'Week 1 MASTER SHEET'!H159</f>
        <v>#REF!</v>
      </c>
      <c r="I159" s="158" t="str">
        <f t="shared" si="139"/>
        <v>#REF!</v>
      </c>
      <c r="J159" s="138" t="str">
        <f t="shared" si="139"/>
        <v>#REF!</v>
      </c>
      <c r="K159" s="373" t="str">
        <f t="shared" si="139"/>
        <v>#REF!</v>
      </c>
      <c r="L159" s="374" t="str">
        <f t="shared" si="139"/>
        <v>#REF!</v>
      </c>
      <c r="M159" s="375"/>
    </row>
    <row r="160">
      <c r="A160" s="372" t="str">
        <f t="shared" ref="A160:E160" si="140">'Week 1 MASTER SHEET'!A160</f>
        <v>#REF!</v>
      </c>
      <c r="B160" s="158" t="str">
        <f t="shared" si="140"/>
        <v>#REF!</v>
      </c>
      <c r="C160" s="138" t="str">
        <f t="shared" si="140"/>
        <v>#REF!</v>
      </c>
      <c r="D160" s="373" t="str">
        <f t="shared" si="140"/>
        <v>#REF!</v>
      </c>
      <c r="E160" s="374" t="str">
        <f t="shared" si="140"/>
        <v>#REF!</v>
      </c>
      <c r="F160" s="375"/>
      <c r="H160" s="372" t="str">
        <f t="shared" ref="H160:L160" si="141">'Week 1 MASTER SHEET'!H160</f>
        <v>#REF!</v>
      </c>
      <c r="I160" s="158" t="str">
        <f t="shared" si="141"/>
        <v>#REF!</v>
      </c>
      <c r="J160" s="138" t="str">
        <f t="shared" si="141"/>
        <v>#REF!</v>
      </c>
      <c r="K160" s="373" t="str">
        <f t="shared" si="141"/>
        <v>#REF!</v>
      </c>
      <c r="L160" s="374" t="str">
        <f t="shared" si="141"/>
        <v>#REF!</v>
      </c>
      <c r="M160" s="375"/>
    </row>
    <row r="161">
      <c r="A161" s="372" t="str">
        <f t="shared" ref="A161:E161" si="142">'Week 1 MASTER SHEET'!A161</f>
        <v>#REF!</v>
      </c>
      <c r="B161" s="158" t="str">
        <f t="shared" si="142"/>
        <v>#REF!</v>
      </c>
      <c r="C161" s="138" t="str">
        <f t="shared" si="142"/>
        <v>#REF!</v>
      </c>
      <c r="D161" s="373" t="str">
        <f t="shared" si="142"/>
        <v>#REF!</v>
      </c>
      <c r="E161" s="374" t="str">
        <f t="shared" si="142"/>
        <v>#REF!</v>
      </c>
      <c r="F161" s="375"/>
      <c r="H161" s="372" t="str">
        <f t="shared" ref="H161:L161" si="143">'Week 1 MASTER SHEET'!H161</f>
        <v>#REF!</v>
      </c>
      <c r="I161" s="158" t="str">
        <f t="shared" si="143"/>
        <v>#REF!</v>
      </c>
      <c r="J161" s="138" t="str">
        <f t="shared" si="143"/>
        <v>#REF!</v>
      </c>
      <c r="K161" s="373" t="str">
        <f t="shared" si="143"/>
        <v>#REF!</v>
      </c>
      <c r="L161" s="374" t="str">
        <f t="shared" si="143"/>
        <v>#REF!</v>
      </c>
      <c r="M161" s="375"/>
    </row>
    <row r="162">
      <c r="A162" s="372" t="str">
        <f t="shared" ref="A162:E162" si="144">'Week 1 MASTER SHEET'!A162</f>
        <v>#REF!</v>
      </c>
      <c r="B162" s="158" t="str">
        <f t="shared" si="144"/>
        <v>#REF!</v>
      </c>
      <c r="C162" s="138" t="str">
        <f t="shared" si="144"/>
        <v>#REF!</v>
      </c>
      <c r="D162" s="373" t="str">
        <f t="shared" si="144"/>
        <v>#REF!</v>
      </c>
      <c r="E162" s="374" t="str">
        <f t="shared" si="144"/>
        <v>#REF!</v>
      </c>
      <c r="F162" s="375"/>
      <c r="H162" s="372" t="str">
        <f t="shared" ref="H162:L162" si="145">'Week 1 MASTER SHEET'!H162</f>
        <v>#REF!</v>
      </c>
      <c r="I162" s="158" t="str">
        <f t="shared" si="145"/>
        <v>#REF!</v>
      </c>
      <c r="J162" s="138" t="str">
        <f t="shared" si="145"/>
        <v>#REF!</v>
      </c>
      <c r="K162" s="373" t="str">
        <f t="shared" si="145"/>
        <v>#REF!</v>
      </c>
      <c r="L162" s="374" t="str">
        <f t="shared" si="145"/>
        <v>#REF!</v>
      </c>
      <c r="M162" s="375"/>
    </row>
    <row r="163">
      <c r="A163" s="372" t="str">
        <f t="shared" ref="A163:E163" si="146">'Week 1 MASTER SHEET'!A163</f>
        <v>#REF!</v>
      </c>
      <c r="B163" s="158" t="str">
        <f t="shared" si="146"/>
        <v>#REF!</v>
      </c>
      <c r="C163" s="138" t="str">
        <f t="shared" si="146"/>
        <v>#REF!</v>
      </c>
      <c r="D163" s="373" t="str">
        <f t="shared" si="146"/>
        <v>#REF!</v>
      </c>
      <c r="E163" s="374" t="str">
        <f t="shared" si="146"/>
        <v>#REF!</v>
      </c>
      <c r="F163" s="375"/>
      <c r="H163" s="372" t="str">
        <f t="shared" ref="H163:L163" si="147">'Week 1 MASTER SHEET'!H163</f>
        <v>#REF!</v>
      </c>
      <c r="I163" s="158" t="str">
        <f t="shared" si="147"/>
        <v>#REF!</v>
      </c>
      <c r="J163" s="138" t="str">
        <f t="shared" si="147"/>
        <v>#REF!</v>
      </c>
      <c r="K163" s="373" t="str">
        <f t="shared" si="147"/>
        <v>#REF!</v>
      </c>
      <c r="L163" s="374" t="str">
        <f t="shared" si="147"/>
        <v>#REF!</v>
      </c>
      <c r="M163" s="375"/>
    </row>
    <row r="164">
      <c r="A164" s="372" t="str">
        <f t="shared" ref="A164:E164" si="148">'Week 1 MASTER SHEET'!A164</f>
        <v>#REF!</v>
      </c>
      <c r="B164" s="158" t="str">
        <f t="shared" si="148"/>
        <v>#REF!</v>
      </c>
      <c r="C164" s="138" t="str">
        <f t="shared" si="148"/>
        <v>#REF!</v>
      </c>
      <c r="D164" s="373" t="str">
        <f t="shared" si="148"/>
        <v>#REF!</v>
      </c>
      <c r="E164" s="374" t="str">
        <f t="shared" si="148"/>
        <v>#REF!</v>
      </c>
      <c r="F164" s="375"/>
      <c r="H164" s="372" t="str">
        <f t="shared" ref="H164:L164" si="149">'Week 1 MASTER SHEET'!H164</f>
        <v>#REF!</v>
      </c>
      <c r="I164" s="158" t="str">
        <f t="shared" si="149"/>
        <v>#REF!</v>
      </c>
      <c r="J164" s="138" t="str">
        <f t="shared" si="149"/>
        <v>#REF!</v>
      </c>
      <c r="K164" s="373" t="str">
        <f t="shared" si="149"/>
        <v>#REF!</v>
      </c>
      <c r="L164" s="374" t="str">
        <f t="shared" si="149"/>
        <v>#REF!</v>
      </c>
      <c r="M164" s="375"/>
    </row>
    <row r="165">
      <c r="A165" s="372">
        <v>10.0</v>
      </c>
      <c r="B165" s="158" t="str">
        <f t="shared" ref="B165:E165" si="150">'Week 1 MASTER SHEET'!B165</f>
        <v>#REF!</v>
      </c>
      <c r="C165" s="138" t="str">
        <f t="shared" si="150"/>
        <v>#REF!</v>
      </c>
      <c r="D165" s="373" t="str">
        <f t="shared" si="150"/>
        <v>#REF!</v>
      </c>
      <c r="E165" s="374" t="str">
        <f t="shared" si="150"/>
        <v>#REF!</v>
      </c>
      <c r="F165" s="375"/>
      <c r="H165" s="372">
        <v>10.0</v>
      </c>
      <c r="I165" s="376" t="str">
        <f t="shared" ref="I165:L165" si="151">'Week 1 MASTER SHEET'!I165</f>
        <v>#REF!</v>
      </c>
      <c r="J165" s="377" t="str">
        <f t="shared" si="151"/>
        <v>#REF!</v>
      </c>
      <c r="K165" s="378" t="str">
        <f t="shared" si="151"/>
        <v>#REF!</v>
      </c>
      <c r="L165" s="379" t="str">
        <f t="shared" si="151"/>
        <v>#REF!</v>
      </c>
      <c r="M165" s="375"/>
    </row>
    <row r="166">
      <c r="A166" s="380" t="s">
        <v>99</v>
      </c>
      <c r="B166" s="32"/>
      <c r="C166" s="27"/>
      <c r="D166" s="27"/>
      <c r="E166" s="27"/>
      <c r="F166" s="28"/>
      <c r="H166" s="380" t="s">
        <v>99</v>
      </c>
      <c r="I166" s="32"/>
      <c r="J166" s="27"/>
      <c r="K166" s="27"/>
      <c r="L166" s="27"/>
      <c r="M166" s="28"/>
    </row>
    <row r="167">
      <c r="A167" s="451"/>
    </row>
    <row r="169">
      <c r="A169" s="498" t="str">
        <f>A72</f>
        <v>#REF!</v>
      </c>
      <c r="B169" s="27"/>
      <c r="C169" s="27"/>
      <c r="D169" s="27"/>
      <c r="E169" s="27"/>
      <c r="F169" s="28"/>
    </row>
    <row r="170">
      <c r="A170" s="499" t="str">
        <f>'Week 1 MASTER SHEET'!A169</f>
        <v>#REF!</v>
      </c>
      <c r="B170" s="27"/>
      <c r="C170" s="27"/>
      <c r="D170" s="27"/>
      <c r="E170" s="27"/>
      <c r="F170" s="28"/>
    </row>
    <row r="171">
      <c r="A171" s="500"/>
    </row>
    <row r="172">
      <c r="A172" s="501" t="str">
        <f>'Week 1 MASTER SHEET'!A171</f>
        <v>#REF!</v>
      </c>
    </row>
    <row r="173">
      <c r="A173" s="2"/>
      <c r="B173" s="2"/>
      <c r="C173" s="2"/>
      <c r="D173" s="2"/>
      <c r="E173" s="2"/>
      <c r="F173" s="2"/>
    </row>
    <row r="174">
      <c r="A174" s="502"/>
      <c r="B174" s="503"/>
      <c r="C174" s="504" t="str">
        <f>'Week 1 MASTER SHEET'!C173</f>
        <v>#REF!</v>
      </c>
      <c r="F174" s="19"/>
    </row>
    <row r="175">
      <c r="A175" s="502"/>
      <c r="B175" s="503"/>
      <c r="C175" s="505"/>
      <c r="F175" s="19"/>
    </row>
    <row r="176">
      <c r="A176" s="502"/>
      <c r="B176" s="503"/>
      <c r="C176" s="505"/>
      <c r="F176" s="19"/>
    </row>
    <row r="177">
      <c r="A177" s="502"/>
      <c r="B177" s="503"/>
      <c r="C177" s="505"/>
      <c r="F177" s="19"/>
    </row>
    <row r="178">
      <c r="A178" s="502"/>
      <c r="B178" s="503"/>
      <c r="C178" s="505"/>
      <c r="F178" s="19"/>
    </row>
    <row r="179">
      <c r="A179" s="502"/>
      <c r="B179" s="503"/>
      <c r="C179" s="505"/>
      <c r="F179" s="19"/>
    </row>
    <row r="180">
      <c r="A180" s="502"/>
      <c r="B180" s="503"/>
      <c r="C180" s="505"/>
      <c r="F180" s="19"/>
    </row>
    <row r="181">
      <c r="A181" s="502"/>
      <c r="B181" s="503"/>
      <c r="C181" s="505"/>
      <c r="F181" s="19"/>
    </row>
    <row r="182">
      <c r="A182" s="502"/>
      <c r="B182" s="503"/>
      <c r="C182" s="505"/>
      <c r="F182" s="19"/>
    </row>
    <row r="183">
      <c r="A183" s="502"/>
      <c r="B183" s="503"/>
      <c r="C183" s="505"/>
      <c r="F183" s="19"/>
    </row>
    <row r="184">
      <c r="A184" s="502"/>
      <c r="B184" s="503"/>
      <c r="C184" s="505"/>
      <c r="F184" s="19"/>
    </row>
    <row r="185">
      <c r="A185" s="502"/>
      <c r="B185" s="503"/>
      <c r="C185" s="505"/>
      <c r="F185" s="19"/>
    </row>
    <row r="186">
      <c r="A186" s="502"/>
      <c r="B186" s="503"/>
      <c r="C186" s="505"/>
      <c r="F186" s="19"/>
    </row>
    <row r="187">
      <c r="A187" s="502"/>
      <c r="B187" s="503"/>
      <c r="C187" s="505"/>
      <c r="F187" s="19"/>
    </row>
    <row r="188">
      <c r="A188" s="506"/>
      <c r="B188" s="507"/>
      <c r="C188" s="303"/>
      <c r="D188" s="2"/>
      <c r="E188" s="2"/>
      <c r="F188" s="37"/>
    </row>
    <row r="189">
      <c r="A189" s="508"/>
    </row>
  </sheetData>
  <mergeCells count="136">
    <mergeCell ref="H16:M17"/>
    <mergeCell ref="H18:M18"/>
    <mergeCell ref="N18:N33"/>
    <mergeCell ref="H19:M19"/>
    <mergeCell ref="I20:M20"/>
    <mergeCell ref="H26:M26"/>
    <mergeCell ref="H33:M33"/>
    <mergeCell ref="H100:M100"/>
    <mergeCell ref="I101:M101"/>
    <mergeCell ref="N100:S106"/>
    <mergeCell ref="N107:S135"/>
    <mergeCell ref="T110:T151"/>
    <mergeCell ref="N152:T166"/>
    <mergeCell ref="H29:M29"/>
    <mergeCell ref="I32:M32"/>
    <mergeCell ref="G36:G99"/>
    <mergeCell ref="H39:T99"/>
    <mergeCell ref="G100:G101"/>
    <mergeCell ref="T100:T109"/>
    <mergeCell ref="G107:M109"/>
    <mergeCell ref="G102:G106"/>
    <mergeCell ref="I106:M106"/>
    <mergeCell ref="G110:G122"/>
    <mergeCell ref="H110:M111"/>
    <mergeCell ref="H112:M112"/>
    <mergeCell ref="H113:M113"/>
    <mergeCell ref="I122:M122"/>
    <mergeCell ref="H152:M152"/>
    <mergeCell ref="H153:M154"/>
    <mergeCell ref="G154:G189"/>
    <mergeCell ref="I166:M166"/>
    <mergeCell ref="H167:T189"/>
    <mergeCell ref="G123:M127"/>
    <mergeCell ref="H128:M128"/>
    <mergeCell ref="I129:M129"/>
    <mergeCell ref="G131:G132"/>
    <mergeCell ref="G136:G151"/>
    <mergeCell ref="H136:S151"/>
    <mergeCell ref="G152:G153"/>
    <mergeCell ref="A1:F8"/>
    <mergeCell ref="G1:G11"/>
    <mergeCell ref="H1:T8"/>
    <mergeCell ref="A9:F9"/>
    <mergeCell ref="H9:M9"/>
    <mergeCell ref="N9:T11"/>
    <mergeCell ref="H10:M10"/>
    <mergeCell ref="O18:T18"/>
    <mergeCell ref="O19:T19"/>
    <mergeCell ref="P20:T20"/>
    <mergeCell ref="O26:T26"/>
    <mergeCell ref="O28:T28"/>
    <mergeCell ref="P33:T33"/>
    <mergeCell ref="N34:T38"/>
    <mergeCell ref="G12:T14"/>
    <mergeCell ref="A13:F13"/>
    <mergeCell ref="A14:F14"/>
    <mergeCell ref="H15:M15"/>
    <mergeCell ref="N15:N17"/>
    <mergeCell ref="O15:T15"/>
    <mergeCell ref="O16:T17"/>
    <mergeCell ref="A10:F11"/>
    <mergeCell ref="A12:F12"/>
    <mergeCell ref="A15:F15"/>
    <mergeCell ref="G15:G18"/>
    <mergeCell ref="A16:F17"/>
    <mergeCell ref="A18:F18"/>
    <mergeCell ref="A19:F19"/>
    <mergeCell ref="G20:G33"/>
    <mergeCell ref="G34:G35"/>
    <mergeCell ref="H34:M34"/>
    <mergeCell ref="I35:M35"/>
    <mergeCell ref="B20:F20"/>
    <mergeCell ref="A26:F26"/>
    <mergeCell ref="A29:F29"/>
    <mergeCell ref="B32:F32"/>
    <mergeCell ref="A33:F33"/>
    <mergeCell ref="A34:F34"/>
    <mergeCell ref="B35:F35"/>
    <mergeCell ref="C174:F188"/>
    <mergeCell ref="A189:F189"/>
    <mergeCell ref="A153:F154"/>
    <mergeCell ref="B166:F166"/>
    <mergeCell ref="A167:F168"/>
    <mergeCell ref="A169:F169"/>
    <mergeCell ref="A170:F170"/>
    <mergeCell ref="A171:F171"/>
    <mergeCell ref="A172:F173"/>
    <mergeCell ref="A39:F40"/>
    <mergeCell ref="A41:F41"/>
    <mergeCell ref="B42:F42"/>
    <mergeCell ref="A48:F48"/>
    <mergeCell ref="A51:F51"/>
    <mergeCell ref="B54:F54"/>
    <mergeCell ref="A55:F56"/>
    <mergeCell ref="A57:F57"/>
    <mergeCell ref="B58:F58"/>
    <mergeCell ref="A63:F64"/>
    <mergeCell ref="A65:F65"/>
    <mergeCell ref="B66:F66"/>
    <mergeCell ref="A71:F71"/>
    <mergeCell ref="A72:F72"/>
    <mergeCell ref="A73:F73"/>
    <mergeCell ref="A74:F74"/>
    <mergeCell ref="A75:F75"/>
    <mergeCell ref="A76:F76"/>
    <mergeCell ref="A77:F77"/>
    <mergeCell ref="A81:F82"/>
    <mergeCell ref="A83:F83"/>
    <mergeCell ref="B84:F84"/>
    <mergeCell ref="A90:F91"/>
    <mergeCell ref="A92:F92"/>
    <mergeCell ref="B93:F93"/>
    <mergeCell ref="A98:F99"/>
    <mergeCell ref="A100:F100"/>
    <mergeCell ref="B101:F101"/>
    <mergeCell ref="A106:F106"/>
    <mergeCell ref="A107:F108"/>
    <mergeCell ref="A109:F109"/>
    <mergeCell ref="A110:F111"/>
    <mergeCell ref="A112:F112"/>
    <mergeCell ref="A113:F113"/>
    <mergeCell ref="B114:F114"/>
    <mergeCell ref="A120:F120"/>
    <mergeCell ref="A123:F123"/>
    <mergeCell ref="B126:F126"/>
    <mergeCell ref="A127:F127"/>
    <mergeCell ref="A128:F128"/>
    <mergeCell ref="B129:F129"/>
    <mergeCell ref="A134:F135"/>
    <mergeCell ref="A136:F136"/>
    <mergeCell ref="B137:F137"/>
    <mergeCell ref="A142:F143"/>
    <mergeCell ref="A144:F144"/>
    <mergeCell ref="B145:F145"/>
    <mergeCell ref="A150:F151"/>
    <mergeCell ref="A152:F152"/>
  </mergeCells>
  <dataValidations>
    <dataValidation type="decimal" operator="greaterThanOrEqual" allowBlank="1" showDropDown="1" showErrorMessage="1" sqref="E156:E165">
      <formula1>0.0</formula1>
    </dataValidation>
    <dataValidation type="decimal" allowBlank="1" showDropDown="1" showInputMessage="1" showErrorMessage="1" prompt="Enter a number between 0 and 30" sqref="T29:T32">
      <formula1>0.0</formula1>
      <formula2>30.0</formula2>
    </dataValidation>
    <dataValidation type="decimal" allowBlank="1" showDropDown="1" showErrorMessage="1" sqref="F22:F25 M22:M25 T22:T25 T27 F27:F28 M27:M28 F30:F31 M30:M31 F37:F38 M37:M38 F44:F47 F49:F50 F52:F53 F60:F62 F68:F70 F79:F80 F86:F89 F95:F97 T100 F103:F105 M103:M105 T110 F116:F119 M116:M119 M121 F121:F122 F124:F125 F131:F133 M131:M133 F139:F141 F147 F149 F156:F165 M156:M165">
      <formula1>0.0</formula1>
      <formula2>500.0</formula2>
    </dataValidation>
    <dataValidation type="decimal" operator="greaterThan" allowBlank="1" showDropDown="1" showErrorMessage="1" sqref="M11">
      <formula1>0.0</formula1>
    </dataValidation>
  </dataValidation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 customWidth="1" min="4" max="4" width="16.38"/>
    <col customWidth="1" min="5" max="5" width="13.13"/>
  </cols>
  <sheetData>
    <row r="1">
      <c r="A1" s="509"/>
    </row>
    <row r="8">
      <c r="A8" s="2"/>
      <c r="B8" s="2"/>
      <c r="C8" s="2"/>
      <c r="D8" s="2"/>
      <c r="E8" s="2"/>
      <c r="F8" s="2"/>
      <c r="G8" s="2"/>
      <c r="H8" s="2"/>
      <c r="I8" s="2"/>
      <c r="J8" s="2"/>
      <c r="K8" s="2"/>
      <c r="L8" s="2"/>
      <c r="M8" s="2"/>
    </row>
    <row r="9">
      <c r="A9" s="510" t="str">
        <f t="shared" ref="A9:A10" si="1">'Week 2 (MASTER SHEET)'!A9</f>
        <v>#REF!</v>
      </c>
      <c r="B9" s="4"/>
      <c r="C9" s="4"/>
      <c r="D9" s="4"/>
      <c r="E9" s="4"/>
      <c r="F9" s="5"/>
      <c r="G9" s="511"/>
      <c r="H9" s="15" t="s">
        <v>3</v>
      </c>
      <c r="I9" s="16"/>
      <c r="J9" s="16"/>
      <c r="K9" s="16"/>
      <c r="L9" s="16"/>
      <c r="M9" s="17"/>
    </row>
    <row r="10">
      <c r="A10" s="512" t="str">
        <f t="shared" si="1"/>
        <v>#REF!</v>
      </c>
      <c r="B10" s="7"/>
      <c r="C10" s="7"/>
      <c r="D10" s="7"/>
      <c r="E10" s="7"/>
      <c r="F10" s="8"/>
      <c r="H10" s="18" t="s">
        <v>110</v>
      </c>
      <c r="M10" s="19"/>
    </row>
    <row r="11">
      <c r="A11" s="9"/>
      <c r="B11" s="4"/>
      <c r="C11" s="4"/>
      <c r="D11" s="4"/>
      <c r="E11" s="4"/>
      <c r="F11" s="5"/>
      <c r="H11" s="20" t="s">
        <v>111</v>
      </c>
      <c r="I11" s="21"/>
      <c r="J11" s="21"/>
      <c r="K11" s="21"/>
      <c r="L11" s="21"/>
      <c r="M11" s="22"/>
    </row>
    <row r="12">
      <c r="A12" s="10" t="s">
        <v>37</v>
      </c>
      <c r="B12" s="11"/>
      <c r="C12" s="11"/>
      <c r="D12" s="11"/>
      <c r="E12" s="11"/>
      <c r="F12" s="12"/>
      <c r="H12" s="511"/>
    </row>
    <row r="13">
      <c r="A13" s="513" t="str">
        <f>'Week 2 (MASTER SHEET)'!A13</f>
        <v>#REF!</v>
      </c>
      <c r="B13" s="11"/>
      <c r="C13" s="11"/>
      <c r="D13" s="11"/>
      <c r="E13" s="11"/>
      <c r="F13" s="12"/>
    </row>
    <row r="14">
      <c r="A14" s="396" t="s">
        <v>109</v>
      </c>
    </row>
    <row r="16">
      <c r="A16" s="514" t="s">
        <v>15</v>
      </c>
      <c r="B16" s="27"/>
      <c r="C16" s="27"/>
      <c r="D16" s="27"/>
      <c r="E16" s="27"/>
      <c r="F16" s="28"/>
      <c r="H16" s="515" t="str">
        <f>'Week 2 (MASTER SHEET)'!H16</f>
        <v>#REF!</v>
      </c>
      <c r="I16" s="16"/>
      <c r="J16" s="16"/>
      <c r="K16" s="16"/>
      <c r="L16" s="16"/>
      <c r="M16" s="17"/>
    </row>
    <row r="17">
      <c r="A17" s="516"/>
      <c r="H17" s="517"/>
      <c r="I17" s="16"/>
      <c r="J17" s="16"/>
      <c r="K17" s="16"/>
      <c r="L17" s="16"/>
      <c r="M17" s="16"/>
    </row>
    <row r="18">
      <c r="A18" s="399"/>
    </row>
    <row r="19">
      <c r="A19" s="518" t="str">
        <f t="shared" ref="A19:A34" si="2">'Week 2 (MASTER SHEET)'!A19</f>
        <v>#REF!</v>
      </c>
      <c r="B19" s="27"/>
      <c r="C19" s="27"/>
      <c r="D19" s="27"/>
      <c r="E19" s="27"/>
      <c r="F19" s="28"/>
      <c r="H19" s="518" t="str">
        <f t="shared" ref="H19:H34" si="3">'Week 2 (MASTER SHEET)'!H19</f>
        <v>#REF!</v>
      </c>
      <c r="I19" s="27"/>
      <c r="J19" s="27"/>
      <c r="K19" s="27"/>
      <c r="L19" s="27"/>
      <c r="M19" s="28"/>
    </row>
    <row r="20">
      <c r="A20" s="405" t="str">
        <f t="shared" si="2"/>
        <v>#REF!</v>
      </c>
      <c r="B20" s="44"/>
      <c r="C20" s="44"/>
      <c r="D20" s="44"/>
      <c r="E20" s="44"/>
      <c r="F20" s="45"/>
      <c r="G20" s="519" t="s">
        <v>90</v>
      </c>
      <c r="H20" s="405" t="str">
        <f t="shared" si="3"/>
        <v>#REF!</v>
      </c>
      <c r="I20" s="44"/>
      <c r="J20" s="44"/>
      <c r="K20" s="44"/>
      <c r="L20" s="44"/>
      <c r="M20" s="45"/>
    </row>
    <row r="21">
      <c r="A21" s="195" t="str">
        <f t="shared" si="2"/>
        <v>#REF!</v>
      </c>
      <c r="B21" s="196">
        <v>75.0</v>
      </c>
      <c r="C21" s="7"/>
      <c r="D21" s="7"/>
      <c r="E21" s="7"/>
      <c r="F21" s="197"/>
      <c r="G21" s="519"/>
      <c r="H21" s="195" t="str">
        <f t="shared" si="3"/>
        <v>#REF!</v>
      </c>
      <c r="I21" s="196" t="str">
        <f t="shared" ref="I21:I26" si="5">'Week 2 (MASTER SHEET)'!I21</f>
        <v>#REF!</v>
      </c>
      <c r="J21" s="7"/>
      <c r="K21" s="7"/>
      <c r="L21" s="7"/>
      <c r="M21" s="197"/>
    </row>
    <row r="22">
      <c r="A22" s="87" t="str">
        <f t="shared" si="2"/>
        <v>#REF!</v>
      </c>
      <c r="B22" s="88" t="str">
        <f t="shared" ref="B22:F22" si="4">'Week 2 (MASTER SHEET)'!B22</f>
        <v>#REF!</v>
      </c>
      <c r="C22" s="88" t="str">
        <f t="shared" si="4"/>
        <v>#REF!</v>
      </c>
      <c r="D22" s="88" t="str">
        <f t="shared" si="4"/>
        <v>#REF!</v>
      </c>
      <c r="E22" s="89" t="str">
        <f t="shared" si="4"/>
        <v>#REF!</v>
      </c>
      <c r="F22" s="202" t="str">
        <f t="shared" si="4"/>
        <v>#REF!</v>
      </c>
      <c r="H22" s="87" t="str">
        <f t="shared" si="3"/>
        <v>#REF!</v>
      </c>
      <c r="I22" s="88" t="str">
        <f t="shared" si="5"/>
        <v>#REF!</v>
      </c>
      <c r="J22" s="88" t="str">
        <f t="shared" ref="J22:M22" si="6">'Week 2 (MASTER SHEET)'!J22</f>
        <v>#REF!</v>
      </c>
      <c r="K22" s="88" t="str">
        <f t="shared" si="6"/>
        <v>#REF!</v>
      </c>
      <c r="L22" s="89" t="str">
        <f t="shared" si="6"/>
        <v>#REF!</v>
      </c>
      <c r="M22" s="202" t="str">
        <f t="shared" si="6"/>
        <v>#REF!</v>
      </c>
    </row>
    <row r="23">
      <c r="A23" s="207" t="str">
        <f t="shared" si="2"/>
        <v>#REF!</v>
      </c>
      <c r="B23" s="208" t="str">
        <f t="shared" ref="B23:E23" si="7">'Week 2 (MASTER SHEET)'!B23</f>
        <v>#REF!</v>
      </c>
      <c r="C23" s="208" t="str">
        <f t="shared" si="7"/>
        <v>#REF!</v>
      </c>
      <c r="D23" s="74" t="str">
        <f t="shared" si="7"/>
        <v>#REF!</v>
      </c>
      <c r="E23" s="520" t="str">
        <f t="shared" si="7"/>
        <v>#REF!</v>
      </c>
      <c r="F23" s="76">
        <v>6.0</v>
      </c>
      <c r="H23" s="211" t="str">
        <f t="shared" si="3"/>
        <v>#REF!</v>
      </c>
      <c r="I23" s="208" t="str">
        <f t="shared" si="5"/>
        <v>#REF!</v>
      </c>
      <c r="J23" s="54" t="str">
        <f t="shared" ref="J23:L23" si="8">'Week 2 (MASTER SHEET)'!J23</f>
        <v>#REF!</v>
      </c>
      <c r="K23" s="74" t="str">
        <f t="shared" si="8"/>
        <v>#REF!</v>
      </c>
      <c r="L23" s="75" t="str">
        <f t="shared" si="8"/>
        <v>#REF!</v>
      </c>
      <c r="M23" s="76"/>
    </row>
    <row r="24">
      <c r="A24" s="207" t="str">
        <f t="shared" si="2"/>
        <v>#REF!</v>
      </c>
      <c r="B24" s="208" t="str">
        <f t="shared" ref="B24:E24" si="9">'Week 2 (MASTER SHEET)'!B24</f>
        <v>#REF!</v>
      </c>
      <c r="C24" s="208" t="str">
        <f t="shared" si="9"/>
        <v>#REF!</v>
      </c>
      <c r="D24" s="74" t="str">
        <f t="shared" si="9"/>
        <v>#REF!</v>
      </c>
      <c r="E24" s="520" t="str">
        <f t="shared" si="9"/>
        <v>#REF!</v>
      </c>
      <c r="F24" s="76">
        <v>1.0</v>
      </c>
      <c r="H24" s="207" t="str">
        <f t="shared" si="3"/>
        <v>#REF!</v>
      </c>
      <c r="I24" s="208" t="str">
        <f t="shared" si="5"/>
        <v>#REF!</v>
      </c>
      <c r="J24" s="208" t="str">
        <f t="shared" ref="J24:L24" si="10">'Week 2 (MASTER SHEET)'!J24</f>
        <v>#REF!</v>
      </c>
      <c r="K24" s="74" t="str">
        <f t="shared" si="10"/>
        <v>#REF!</v>
      </c>
      <c r="L24" s="75" t="str">
        <f t="shared" si="10"/>
        <v>#REF!</v>
      </c>
      <c r="M24" s="76"/>
    </row>
    <row r="25">
      <c r="A25" s="207" t="str">
        <f t="shared" si="2"/>
        <v>#REF!</v>
      </c>
      <c r="B25" s="208" t="str">
        <f t="shared" ref="B25:E25" si="11">'Week 2 (MASTER SHEET)'!B25</f>
        <v>#REF!</v>
      </c>
      <c r="C25" s="208" t="str">
        <f t="shared" si="11"/>
        <v>#REF!</v>
      </c>
      <c r="D25" s="74" t="str">
        <f t="shared" si="11"/>
        <v>#REF!</v>
      </c>
      <c r="E25" s="520" t="str">
        <f t="shared" si="11"/>
        <v>#REF!</v>
      </c>
      <c r="F25" s="76">
        <v>1.0</v>
      </c>
      <c r="H25" s="207" t="str">
        <f t="shared" si="3"/>
        <v>#REF!</v>
      </c>
      <c r="I25" s="208" t="str">
        <f t="shared" si="5"/>
        <v>#REF!</v>
      </c>
      <c r="J25" s="208" t="str">
        <f t="shared" ref="J25:L25" si="12">'Week 2 (MASTER SHEET)'!J25</f>
        <v>#REF!</v>
      </c>
      <c r="K25" s="74" t="str">
        <f t="shared" si="12"/>
        <v>#REF!</v>
      </c>
      <c r="L25" s="75" t="str">
        <f t="shared" si="12"/>
        <v>#REF!</v>
      </c>
      <c r="M25" s="76"/>
    </row>
    <row r="26">
      <c r="A26" s="207" t="str">
        <f t="shared" si="2"/>
        <v>#REF!</v>
      </c>
      <c r="B26" s="208" t="str">
        <f t="shared" ref="B26:E26" si="13">'Week 2 (MASTER SHEET)'!B26</f>
        <v>#REF!</v>
      </c>
      <c r="C26" s="212" t="str">
        <f t="shared" si="13"/>
        <v>#REF!</v>
      </c>
      <c r="D26" s="74" t="str">
        <f t="shared" si="13"/>
        <v>#REF!</v>
      </c>
      <c r="E26" s="520" t="str">
        <f t="shared" si="13"/>
        <v>#REF!</v>
      </c>
      <c r="F26" s="76">
        <v>6.0</v>
      </c>
      <c r="H26" s="207" t="str">
        <f t="shared" si="3"/>
        <v>#REF!</v>
      </c>
      <c r="I26" s="208" t="str">
        <f t="shared" si="5"/>
        <v>#REF!</v>
      </c>
      <c r="J26" s="212" t="str">
        <f t="shared" ref="J26:L26" si="14">'Week 2 (MASTER SHEET)'!J26</f>
        <v>#REF!</v>
      </c>
      <c r="K26" s="74" t="str">
        <f t="shared" si="14"/>
        <v>#REF!</v>
      </c>
      <c r="L26" s="75" t="str">
        <f t="shared" si="14"/>
        <v>#REF!</v>
      </c>
      <c r="M26" s="76"/>
    </row>
    <row r="27">
      <c r="A27" s="215" t="str">
        <f t="shared" si="2"/>
        <v>#REF!</v>
      </c>
      <c r="F27" s="19"/>
      <c r="H27" s="215" t="str">
        <f t="shared" si="3"/>
        <v>#REF!</v>
      </c>
      <c r="M27" s="19"/>
    </row>
    <row r="28">
      <c r="A28" s="218" t="str">
        <f t="shared" si="2"/>
        <v>#REF!</v>
      </c>
      <c r="B28" s="219" t="str">
        <f t="shared" ref="B28:E28" si="15">'Week 2 (MASTER SHEET)'!B28</f>
        <v>#REF!</v>
      </c>
      <c r="C28" s="220" t="str">
        <f t="shared" si="15"/>
        <v>#REF!</v>
      </c>
      <c r="D28" s="221" t="str">
        <f t="shared" si="15"/>
        <v>#REF!</v>
      </c>
      <c r="E28" s="520" t="str">
        <f t="shared" si="15"/>
        <v>#REF!</v>
      </c>
      <c r="F28" s="58">
        <v>2.0</v>
      </c>
      <c r="H28" s="218" t="str">
        <f t="shared" si="3"/>
        <v>#REF!</v>
      </c>
      <c r="I28" s="219" t="str">
        <f t="shared" ref="I28:L28" si="16">'Week 2 (MASTER SHEET)'!I28</f>
        <v>#REF!</v>
      </c>
      <c r="J28" s="220" t="str">
        <f t="shared" si="16"/>
        <v>#REF!</v>
      </c>
      <c r="K28" s="221" t="str">
        <f t="shared" si="16"/>
        <v>#REF!</v>
      </c>
      <c r="L28" s="75" t="str">
        <f t="shared" si="16"/>
        <v>#REF!</v>
      </c>
      <c r="M28" s="58"/>
    </row>
    <row r="29">
      <c r="A29" s="227" t="str">
        <f t="shared" si="2"/>
        <v>#REF!</v>
      </c>
      <c r="B29" s="7"/>
      <c r="C29" s="7"/>
      <c r="D29" s="7"/>
      <c r="E29" s="7"/>
      <c r="F29" s="197"/>
      <c r="H29" s="227" t="str">
        <f t="shared" si="3"/>
        <v>#REF!</v>
      </c>
      <c r="I29" s="7"/>
      <c r="J29" s="7"/>
      <c r="K29" s="7"/>
      <c r="L29" s="7"/>
      <c r="M29" s="197"/>
    </row>
    <row r="30">
      <c r="A30" s="521" t="str">
        <f t="shared" si="2"/>
        <v>#REF!</v>
      </c>
      <c r="B30" s="228" t="str">
        <f t="shared" ref="B30:E30" si="17">'Week 2 (MASTER SHEET)'!B30</f>
        <v>#REF!</v>
      </c>
      <c r="C30" s="229" t="str">
        <f t="shared" si="17"/>
        <v>#REF!</v>
      </c>
      <c r="D30" s="56" t="str">
        <f t="shared" si="17"/>
        <v>#REF!</v>
      </c>
      <c r="E30" s="520" t="str">
        <f t="shared" si="17"/>
        <v>#REF!</v>
      </c>
      <c r="F30" s="230"/>
      <c r="H30" s="82" t="str">
        <f t="shared" si="3"/>
        <v>#REF!</v>
      </c>
      <c r="I30" s="228" t="str">
        <f t="shared" ref="I30:L30" si="18">'Week 2 (MASTER SHEET)'!I30</f>
        <v>#REF!</v>
      </c>
      <c r="J30" s="229" t="str">
        <f t="shared" si="18"/>
        <v>#REF!</v>
      </c>
      <c r="K30" s="56" t="str">
        <f t="shared" si="18"/>
        <v>#REF!</v>
      </c>
      <c r="L30" s="75" t="str">
        <f t="shared" si="18"/>
        <v>#REF!</v>
      </c>
      <c r="M30" s="230"/>
    </row>
    <row r="31">
      <c r="A31" s="522" t="str">
        <f t="shared" si="2"/>
        <v>#REF!</v>
      </c>
      <c r="B31" s="221" t="str">
        <f t="shared" ref="B31:E31" si="19">'Week 2 (MASTER SHEET)'!B31</f>
        <v>#REF!</v>
      </c>
      <c r="C31" s="220" t="str">
        <f t="shared" si="19"/>
        <v>#REF!</v>
      </c>
      <c r="D31" s="221" t="str">
        <f t="shared" si="19"/>
        <v>#REF!</v>
      </c>
      <c r="E31" s="520" t="str">
        <f t="shared" si="19"/>
        <v>#REF!</v>
      </c>
      <c r="F31" s="230"/>
      <c r="H31" s="236" t="str">
        <f t="shared" si="3"/>
        <v>#REF!</v>
      </c>
      <c r="I31" s="221" t="str">
        <f t="shared" ref="I31:K31" si="20">'Week 2 (MASTER SHEET)'!I31</f>
        <v>#REF!</v>
      </c>
      <c r="J31" s="220" t="str">
        <f t="shared" si="20"/>
        <v>#REF!</v>
      </c>
      <c r="K31" s="221" t="str">
        <f t="shared" si="20"/>
        <v>#REF!</v>
      </c>
      <c r="L31" s="75"/>
      <c r="M31" s="230"/>
    </row>
    <row r="32">
      <c r="A32" s="522" t="str">
        <f t="shared" si="2"/>
        <v>#REF!</v>
      </c>
      <c r="B32" s="221" t="str">
        <f t="shared" ref="B32:E32" si="21">'Week 2 (MASTER SHEET)'!B32</f>
        <v>#REF!</v>
      </c>
      <c r="C32" s="220" t="str">
        <f t="shared" si="21"/>
        <v>#REF!</v>
      </c>
      <c r="D32" s="221" t="str">
        <f t="shared" si="21"/>
        <v>#REF!</v>
      </c>
      <c r="E32" s="520" t="str">
        <f t="shared" si="21"/>
        <v>#REF!</v>
      </c>
      <c r="F32" s="230"/>
      <c r="H32" s="236" t="str">
        <f t="shared" si="3"/>
        <v>#REF!</v>
      </c>
      <c r="I32" s="221" t="str">
        <f t="shared" ref="I32:K32" si="22">'Week 2 (MASTER SHEET)'!I32</f>
        <v>#REF!</v>
      </c>
      <c r="J32" s="220" t="str">
        <f t="shared" si="22"/>
        <v>#REF!</v>
      </c>
      <c r="K32" s="221" t="str">
        <f t="shared" si="22"/>
        <v>#REF!</v>
      </c>
      <c r="L32" s="75"/>
      <c r="M32" s="230"/>
    </row>
    <row r="33">
      <c r="A33" s="522" t="str">
        <f t="shared" si="2"/>
        <v>#REF!</v>
      </c>
      <c r="B33" s="221" t="str">
        <f t="shared" ref="B33:E33" si="23">'Week 2 (MASTER SHEET)'!B33</f>
        <v>#REF!</v>
      </c>
      <c r="C33" s="220" t="str">
        <f t="shared" si="23"/>
        <v>#REF!</v>
      </c>
      <c r="D33" s="221" t="str">
        <f t="shared" si="23"/>
        <v>#REF!</v>
      </c>
      <c r="E33" s="520" t="str">
        <f t="shared" si="23"/>
        <v>#REF!</v>
      </c>
      <c r="F33" s="230"/>
      <c r="H33" s="236" t="str">
        <f t="shared" si="3"/>
        <v>#REF!</v>
      </c>
      <c r="I33" s="221" t="str">
        <f t="shared" ref="I33:K33" si="24">'Week 2 (MASTER SHEET)'!I33</f>
        <v>#REF!</v>
      </c>
      <c r="J33" s="220" t="str">
        <f t="shared" si="24"/>
        <v>#REF!</v>
      </c>
      <c r="K33" s="221" t="str">
        <f t="shared" si="24"/>
        <v>#REF!</v>
      </c>
      <c r="L33" s="75"/>
      <c r="M33" s="230"/>
    </row>
    <row r="34">
      <c r="A34" s="247" t="str">
        <f t="shared" si="2"/>
        <v>#REF!</v>
      </c>
      <c r="B34" s="240" t="str">
        <f>'Week 2 (MASTER SHEET)'!B34</f>
        <v>#REF!</v>
      </c>
      <c r="C34" s="2"/>
      <c r="D34" s="2"/>
      <c r="E34" s="2"/>
      <c r="F34" s="37"/>
      <c r="H34" s="247" t="str">
        <f t="shared" si="3"/>
        <v>#REF!</v>
      </c>
      <c r="I34" s="240" t="str">
        <f>'Week 2 (MASTER SHEET)'!I34</f>
        <v>#REF!</v>
      </c>
      <c r="J34" s="2"/>
      <c r="K34" s="2"/>
      <c r="L34" s="2"/>
      <c r="M34" s="37"/>
    </row>
    <row r="35">
      <c r="A35" s="523"/>
    </row>
    <row r="37">
      <c r="A37" s="473" t="str">
        <f t="shared" ref="A37:A41" si="25">'Week 2 (MASTER SHEET)'!A37</f>
        <v>#REF!</v>
      </c>
      <c r="B37" s="44"/>
      <c r="C37" s="44"/>
      <c r="D37" s="44"/>
      <c r="E37" s="44"/>
      <c r="F37" s="45"/>
      <c r="G37" s="519" t="s">
        <v>90</v>
      </c>
      <c r="H37" s="411" t="str">
        <f t="shared" ref="H37:H41" si="26">'Week 2 (MASTER SHEET)'!H37</f>
        <v>#REF!</v>
      </c>
      <c r="I37" s="44"/>
      <c r="J37" s="44"/>
      <c r="K37" s="44"/>
      <c r="L37" s="44"/>
      <c r="M37" s="45"/>
    </row>
    <row r="38">
      <c r="A38" s="193" t="str">
        <f t="shared" si="25"/>
        <v>#REF!</v>
      </c>
      <c r="B38" s="524" t="str">
        <f t="shared" ref="B38:B41" si="27">'Week 2 (MASTER SHEET)'!B38</f>
        <v>#REF!</v>
      </c>
      <c r="C38" s="4"/>
      <c r="D38" s="4"/>
      <c r="E38" s="4"/>
      <c r="F38" s="48"/>
      <c r="H38" s="195" t="str">
        <f t="shared" si="26"/>
        <v>#REF!</v>
      </c>
      <c r="I38" s="525" t="str">
        <f t="shared" ref="I38:I41" si="29">'Week 2 (MASTER SHEET)'!I38</f>
        <v>#REF!</v>
      </c>
      <c r="M38" s="19"/>
    </row>
    <row r="39">
      <c r="A39" s="331" t="str">
        <f t="shared" si="25"/>
        <v>#REF!</v>
      </c>
      <c r="B39" s="332" t="str">
        <f t="shared" si="27"/>
        <v>#REF!</v>
      </c>
      <c r="C39" s="332" t="str">
        <f t="shared" ref="C39:F39" si="28">'Week 2 (MASTER SHEET)'!C39</f>
        <v>#REF!</v>
      </c>
      <c r="D39" s="332" t="str">
        <f t="shared" si="28"/>
        <v>#REF!</v>
      </c>
      <c r="E39" s="526" t="str">
        <f t="shared" si="28"/>
        <v>#REF!</v>
      </c>
      <c r="F39" s="202" t="str">
        <f t="shared" si="28"/>
        <v>#REF!</v>
      </c>
      <c r="G39" s="527"/>
      <c r="H39" s="87" t="str">
        <f t="shared" si="26"/>
        <v>#REF!</v>
      </c>
      <c r="I39" s="88" t="str">
        <f t="shared" si="29"/>
        <v>#REF!</v>
      </c>
      <c r="J39" s="88" t="str">
        <f t="shared" ref="J39:M39" si="30">'Week 2 (MASTER SHEET)'!J39</f>
        <v>#REF!</v>
      </c>
      <c r="K39" s="88" t="str">
        <f t="shared" si="30"/>
        <v>#REF!</v>
      </c>
      <c r="L39" s="483" t="str">
        <f t="shared" si="30"/>
        <v>#REF!</v>
      </c>
      <c r="M39" s="202" t="str">
        <f t="shared" si="30"/>
        <v>#REF!</v>
      </c>
    </row>
    <row r="40">
      <c r="A40" s="528" t="str">
        <f t="shared" si="25"/>
        <v>#REF!</v>
      </c>
      <c r="B40" s="529" t="str">
        <f t="shared" si="27"/>
        <v>#REF!</v>
      </c>
      <c r="C40" s="529" t="str">
        <f t="shared" ref="C40:E40" si="31">'Week 2 (MASTER SHEET)'!C40</f>
        <v>#REF!</v>
      </c>
      <c r="D40" s="529" t="str">
        <f t="shared" si="31"/>
        <v>#REF!</v>
      </c>
      <c r="E40" s="530" t="str">
        <f t="shared" si="31"/>
        <v>#REF!</v>
      </c>
      <c r="F40" s="531">
        <v>15.0</v>
      </c>
      <c r="H40" s="532" t="str">
        <f t="shared" si="26"/>
        <v>#REF!</v>
      </c>
      <c r="I40" s="533" t="str">
        <f t="shared" si="29"/>
        <v>#REF!</v>
      </c>
      <c r="J40" s="533" t="str">
        <f t="shared" ref="J40:L40" si="32">'Week 2 (MASTER SHEET)'!J40</f>
        <v>#REF!</v>
      </c>
      <c r="K40" s="533" t="str">
        <f t="shared" si="32"/>
        <v>#REF!</v>
      </c>
      <c r="L40" s="533" t="str">
        <f t="shared" si="32"/>
        <v>#REF!</v>
      </c>
      <c r="M40" s="531"/>
    </row>
    <row r="41">
      <c r="A41" s="534" t="str">
        <f t="shared" si="25"/>
        <v>#REF!</v>
      </c>
      <c r="B41" s="535" t="str">
        <f t="shared" si="27"/>
        <v>#REF!</v>
      </c>
      <c r="C41" s="535" t="str">
        <f t="shared" ref="C41:E41" si="33">'Week 2 (MASTER SHEET)'!C41</f>
        <v>#REF!</v>
      </c>
      <c r="D41" s="535" t="str">
        <f t="shared" si="33"/>
        <v>#REF!</v>
      </c>
      <c r="E41" s="536" t="str">
        <f t="shared" si="33"/>
        <v>#REF!</v>
      </c>
      <c r="F41" s="531">
        <v>15.0</v>
      </c>
      <c r="H41" s="537" t="str">
        <f t="shared" si="26"/>
        <v>#REF!</v>
      </c>
      <c r="I41" s="538" t="str">
        <f t="shared" si="29"/>
        <v>#REF!</v>
      </c>
      <c r="J41" s="538" t="str">
        <f t="shared" ref="J41:L41" si="34">'Week 2 (MASTER SHEET)'!J41</f>
        <v>#REF!</v>
      </c>
      <c r="K41" s="538" t="str">
        <f t="shared" si="34"/>
        <v>#REF!</v>
      </c>
      <c r="L41" s="538" t="str">
        <f t="shared" si="34"/>
        <v>#REF!</v>
      </c>
      <c r="M41" s="531"/>
    </row>
    <row r="42">
      <c r="A42" s="539"/>
    </row>
    <row r="44">
      <c r="A44" s="540" t="str">
        <f t="shared" ref="A44:A57" si="35">'Week 2 (MASTER SHEET)'!A44</f>
        <v>#REF!</v>
      </c>
      <c r="B44" s="44"/>
      <c r="C44" s="44"/>
      <c r="D44" s="44"/>
      <c r="E44" s="44"/>
      <c r="F44" s="45"/>
      <c r="G44" s="527"/>
    </row>
    <row r="45">
      <c r="A45" s="193" t="str">
        <f t="shared" si="35"/>
        <v>#REF!</v>
      </c>
      <c r="B45" s="194" t="str">
        <f t="shared" ref="B45:B50" si="36">'Week 2 (MASTER SHEET)'!B45</f>
        <v>#REF!</v>
      </c>
      <c r="C45" s="11"/>
      <c r="D45" s="11"/>
      <c r="E45" s="11"/>
      <c r="F45" s="86"/>
    </row>
    <row r="46">
      <c r="A46" s="198" t="str">
        <f t="shared" si="35"/>
        <v>#REF!</v>
      </c>
      <c r="B46" s="199" t="str">
        <f t="shared" si="36"/>
        <v>#REF!</v>
      </c>
      <c r="C46" s="199" t="str">
        <f t="shared" ref="C46:F46" si="37">'Week 2 (MASTER SHEET)'!C46</f>
        <v>#REF!</v>
      </c>
      <c r="D46" s="199" t="str">
        <f t="shared" si="37"/>
        <v>#REF!</v>
      </c>
      <c r="E46" s="200" t="str">
        <f t="shared" si="37"/>
        <v>#REF!</v>
      </c>
      <c r="F46" s="202" t="str">
        <f t="shared" si="37"/>
        <v>#REF!</v>
      </c>
    </row>
    <row r="47">
      <c r="A47" s="203" t="str">
        <f t="shared" si="35"/>
        <v>#REF!</v>
      </c>
      <c r="B47" s="204" t="str">
        <f t="shared" si="36"/>
        <v>#REF!</v>
      </c>
      <c r="C47" s="204" t="str">
        <f t="shared" ref="C47:E47" si="38">'Week 2 (MASTER SHEET)'!C47</f>
        <v>#REF!</v>
      </c>
      <c r="D47" s="205" t="str">
        <f t="shared" si="38"/>
        <v>#REF!</v>
      </c>
      <c r="E47" s="57" t="str">
        <f t="shared" si="38"/>
        <v>#REF!</v>
      </c>
      <c r="F47" s="58"/>
    </row>
    <row r="48">
      <c r="A48" s="203" t="str">
        <f t="shared" si="35"/>
        <v>#REF!</v>
      </c>
      <c r="B48" s="204" t="str">
        <f t="shared" si="36"/>
        <v>#REF!</v>
      </c>
      <c r="C48" s="205" t="str">
        <f t="shared" ref="C48:E48" si="39">'Week 2 (MASTER SHEET)'!C48</f>
        <v>#REF!</v>
      </c>
      <c r="D48" s="205" t="str">
        <f t="shared" si="39"/>
        <v>#REF!</v>
      </c>
      <c r="E48" s="57" t="str">
        <f t="shared" si="39"/>
        <v>#REF!</v>
      </c>
      <c r="F48" s="58"/>
    </row>
    <row r="49">
      <c r="A49" s="209" t="str">
        <f t="shared" si="35"/>
        <v>#REF!</v>
      </c>
      <c r="B49" s="204" t="str">
        <f t="shared" si="36"/>
        <v>#REF!</v>
      </c>
      <c r="C49" s="54" t="str">
        <f t="shared" ref="C49:E49" si="40">'Week 2 (MASTER SHEET)'!C49</f>
        <v>#REF!</v>
      </c>
      <c r="D49" s="205" t="str">
        <f t="shared" si="40"/>
        <v>#REF!</v>
      </c>
      <c r="E49" s="57" t="str">
        <f t="shared" si="40"/>
        <v>#REF!</v>
      </c>
      <c r="F49" s="58"/>
    </row>
    <row r="50">
      <c r="A50" s="210" t="str">
        <f t="shared" si="35"/>
        <v>#REF!</v>
      </c>
      <c r="B50" s="204" t="str">
        <f t="shared" si="36"/>
        <v>#REF!</v>
      </c>
      <c r="C50" s="54" t="str">
        <f t="shared" ref="C50:D50" si="41">'Week 2 (MASTER SHEET)'!C50</f>
        <v>#REF!</v>
      </c>
      <c r="D50" s="205" t="str">
        <f t="shared" si="41"/>
        <v>#REF!</v>
      </c>
      <c r="E50" s="57"/>
      <c r="F50" s="58"/>
    </row>
    <row r="51">
      <c r="A51" s="213" t="str">
        <f t="shared" si="35"/>
        <v>#REF!</v>
      </c>
      <c r="B51" s="11"/>
      <c r="C51" s="11"/>
      <c r="D51" s="11"/>
      <c r="E51" s="11"/>
      <c r="F51" s="86"/>
    </row>
    <row r="52">
      <c r="A52" s="216" t="str">
        <f t="shared" si="35"/>
        <v>#REF!</v>
      </c>
      <c r="B52" s="204" t="str">
        <f t="shared" ref="B52:D52" si="42">'Week 2 (MASTER SHEET)'!B52</f>
        <v>#REF!</v>
      </c>
      <c r="C52" s="204" t="str">
        <f t="shared" si="42"/>
        <v>#REF!</v>
      </c>
      <c r="D52" s="204" t="str">
        <f t="shared" si="42"/>
        <v>#REF!</v>
      </c>
      <c r="E52" s="217"/>
      <c r="F52" s="58"/>
    </row>
    <row r="53">
      <c r="A53" s="226" t="str">
        <f t="shared" si="35"/>
        <v>#REF!</v>
      </c>
      <c r="B53" s="204" t="str">
        <f t="shared" ref="B53:E53" si="43">'Week 2 (MASTER SHEET)'!B53</f>
        <v>#REF!</v>
      </c>
      <c r="C53" s="204" t="str">
        <f t="shared" si="43"/>
        <v>#REF!</v>
      </c>
      <c r="D53" s="204" t="str">
        <f t="shared" si="43"/>
        <v>#REF!</v>
      </c>
      <c r="E53" s="225" t="str">
        <f t="shared" si="43"/>
        <v>#REF!</v>
      </c>
      <c r="F53" s="58"/>
    </row>
    <row r="54">
      <c r="A54" s="213" t="str">
        <f t="shared" si="35"/>
        <v>#REF!</v>
      </c>
      <c r="B54" s="11"/>
      <c r="C54" s="11"/>
      <c r="D54" s="11"/>
      <c r="E54" s="11"/>
      <c r="F54" s="86"/>
    </row>
    <row r="55">
      <c r="A55" s="231" t="str">
        <f t="shared" si="35"/>
        <v>#REF!</v>
      </c>
      <c r="B55" s="232" t="str">
        <f t="shared" ref="B55:E55" si="44">'Week 2 (MASTER SHEET)'!B55</f>
        <v>#REF!</v>
      </c>
      <c r="C55" s="233" t="str">
        <f t="shared" si="44"/>
        <v>#REF!</v>
      </c>
      <c r="D55" s="234" t="str">
        <f t="shared" si="44"/>
        <v>#REF!</v>
      </c>
      <c r="E55" s="235" t="str">
        <f t="shared" si="44"/>
        <v>#REF!</v>
      </c>
      <c r="F55" s="531"/>
    </row>
    <row r="56">
      <c r="A56" s="210" t="str">
        <f t="shared" si="35"/>
        <v>#REF!</v>
      </c>
      <c r="B56" s="204" t="str">
        <f t="shared" ref="B56:D56" si="45">'Week 2 (MASTER SHEET)'!B56</f>
        <v>#REF!</v>
      </c>
      <c r="C56" s="409" t="str">
        <f t="shared" si="45"/>
        <v>#REF!</v>
      </c>
      <c r="D56" s="204" t="str">
        <f t="shared" si="45"/>
        <v>#REF!</v>
      </c>
      <c r="E56" s="225"/>
      <c r="F56" s="531"/>
    </row>
    <row r="57">
      <c r="A57" s="239" t="str">
        <f t="shared" si="35"/>
        <v>#REF!</v>
      </c>
      <c r="B57" s="240" t="str">
        <f>'Week 2 (MASTER SHEET)'!B57</f>
        <v>#REF!</v>
      </c>
      <c r="C57" s="2"/>
      <c r="D57" s="2"/>
      <c r="E57" s="2"/>
      <c r="F57" s="37"/>
      <c r="G57" s="527"/>
    </row>
    <row r="58">
      <c r="A58" s="541"/>
    </row>
    <row r="59">
      <c r="A59" s="540" t="str">
        <f t="shared" ref="A59:A64" si="46">'Week 2 (MASTER SHEET)'!A59</f>
        <v>#REF!</v>
      </c>
      <c r="B59" s="44"/>
      <c r="C59" s="44"/>
      <c r="D59" s="44"/>
      <c r="E59" s="44"/>
      <c r="F59" s="45"/>
    </row>
    <row r="60">
      <c r="A60" s="193" t="str">
        <f t="shared" si="46"/>
        <v>#REF!</v>
      </c>
      <c r="B60" s="542" t="str">
        <f t="shared" ref="B60:B64" si="47">'Week 2 (MASTER SHEET)'!B60</f>
        <v>#REF!</v>
      </c>
      <c r="C60" s="4"/>
      <c r="D60" s="4"/>
      <c r="E60" s="4"/>
      <c r="F60" s="48"/>
    </row>
    <row r="61">
      <c r="A61" s="543" t="str">
        <f t="shared" si="46"/>
        <v>#REF!</v>
      </c>
      <c r="B61" s="544" t="str">
        <f t="shared" si="47"/>
        <v>#REF!</v>
      </c>
      <c r="C61" s="544" t="str">
        <f t="shared" ref="C61:D61" si="48">'Week 2 (MASTER SHEET)'!C61</f>
        <v>#REF!</v>
      </c>
      <c r="D61" s="544" t="str">
        <f t="shared" si="48"/>
        <v>#REF!</v>
      </c>
      <c r="E61" s="545" t="str">
        <f>'Week 2 (MASTER SHEET)'!A59:F59</f>
        <v>#REF!</v>
      </c>
      <c r="F61" s="202" t="str">
        <f>'Week 2 (MASTER SHEET)'!F61</f>
        <v>#REF!</v>
      </c>
    </row>
    <row r="62">
      <c r="A62" s="546" t="str">
        <f t="shared" si="46"/>
        <v>#REF!</v>
      </c>
      <c r="B62" s="547" t="str">
        <f t="shared" si="47"/>
        <v>#REF!</v>
      </c>
      <c r="C62" s="548" t="str">
        <f t="shared" ref="C62:E62" si="49">'Week 2 (MASTER SHEET)'!C62</f>
        <v>#REF!</v>
      </c>
      <c r="D62" s="547" t="str">
        <f t="shared" si="49"/>
        <v>#REF!</v>
      </c>
      <c r="E62" s="549" t="str">
        <f t="shared" si="49"/>
        <v>#REF!</v>
      </c>
      <c r="F62" s="531">
        <v>10.0</v>
      </c>
    </row>
    <row r="63">
      <c r="A63" s="546" t="str">
        <f t="shared" si="46"/>
        <v>#REF!</v>
      </c>
      <c r="B63" s="547" t="str">
        <f t="shared" si="47"/>
        <v>#REF!</v>
      </c>
      <c r="C63" s="548" t="str">
        <f t="shared" ref="C63:E63" si="50">'Week 2 (MASTER SHEET)'!C63</f>
        <v>#REF!</v>
      </c>
      <c r="D63" s="547" t="str">
        <f t="shared" si="50"/>
        <v>#REF!</v>
      </c>
      <c r="E63" s="549" t="str">
        <f t="shared" si="50"/>
        <v>#REF!</v>
      </c>
      <c r="F63" s="531">
        <v>10.0</v>
      </c>
    </row>
    <row r="64">
      <c r="A64" s="550" t="str">
        <f t="shared" si="46"/>
        <v>#REF!</v>
      </c>
      <c r="B64" s="551" t="str">
        <f t="shared" si="47"/>
        <v>#REF!</v>
      </c>
      <c r="C64" s="552" t="str">
        <f t="shared" ref="C64:E64" si="51">'Week 2 (MASTER SHEET)'!C64</f>
        <v>#REF!</v>
      </c>
      <c r="D64" s="551" t="str">
        <f t="shared" si="51"/>
        <v>#REF!</v>
      </c>
      <c r="E64" s="553" t="str">
        <f t="shared" si="51"/>
        <v>#REF!</v>
      </c>
      <c r="F64" s="531">
        <v>10.0</v>
      </c>
    </row>
    <row r="65">
      <c r="A65" s="554"/>
    </row>
    <row r="67">
      <c r="A67" s="473" t="str">
        <f t="shared" ref="A67:A72" si="52">'Week 2 (MASTER SHEET)'!A67</f>
        <v>#REF!</v>
      </c>
      <c r="B67" s="44"/>
      <c r="C67" s="44"/>
      <c r="D67" s="44"/>
      <c r="E67" s="44"/>
      <c r="F67" s="45"/>
    </row>
    <row r="68">
      <c r="A68" s="193" t="str">
        <f t="shared" si="52"/>
        <v>#REF!</v>
      </c>
      <c r="B68" s="542" t="str">
        <f t="shared" ref="B68:B72" si="53">'Week 2 (MASTER SHEET)'!B68</f>
        <v>#REF!</v>
      </c>
      <c r="C68" s="4"/>
      <c r="D68" s="4"/>
      <c r="E68" s="4"/>
      <c r="F68" s="48"/>
    </row>
    <row r="69">
      <c r="A69" s="331" t="str">
        <f t="shared" si="52"/>
        <v>#REF!</v>
      </c>
      <c r="B69" s="332" t="str">
        <f t="shared" si="53"/>
        <v>#REF!</v>
      </c>
      <c r="C69" s="332" t="str">
        <f t="shared" ref="C69:F69" si="54">'Week 2 (MASTER SHEET)'!C69</f>
        <v>#REF!</v>
      </c>
      <c r="D69" s="332" t="str">
        <f t="shared" si="54"/>
        <v>#REF!</v>
      </c>
      <c r="E69" s="526" t="str">
        <f t="shared" si="54"/>
        <v>#REF!</v>
      </c>
      <c r="F69" s="202" t="str">
        <f t="shared" si="54"/>
        <v>#REF!</v>
      </c>
    </row>
    <row r="70">
      <c r="A70" s="211" t="str">
        <f t="shared" si="52"/>
        <v>#REF!</v>
      </c>
      <c r="B70" s="547" t="str">
        <f t="shared" si="53"/>
        <v>#REF!</v>
      </c>
      <c r="C70" s="548" t="str">
        <f t="shared" ref="C70:E70" si="55">'Week 2 (MASTER SHEET)'!C70</f>
        <v>#REF!</v>
      </c>
      <c r="D70" s="547" t="str">
        <f t="shared" si="55"/>
        <v>#REF!</v>
      </c>
      <c r="E70" s="549" t="str">
        <f t="shared" si="55"/>
        <v>#REF!</v>
      </c>
      <c r="F70" s="531">
        <v>10.0</v>
      </c>
    </row>
    <row r="71">
      <c r="A71" s="211" t="str">
        <f t="shared" si="52"/>
        <v>#REF!</v>
      </c>
      <c r="B71" s="547" t="str">
        <f t="shared" si="53"/>
        <v>#REF!</v>
      </c>
      <c r="C71" s="548" t="str">
        <f t="shared" ref="C71:E71" si="56">'Week 2 (MASTER SHEET)'!C71</f>
        <v>#REF!</v>
      </c>
      <c r="D71" s="547" t="str">
        <f t="shared" si="56"/>
        <v>#REF!</v>
      </c>
      <c r="E71" s="549" t="str">
        <f t="shared" si="56"/>
        <v>#REF!</v>
      </c>
      <c r="F71" s="531">
        <v>10.0</v>
      </c>
    </row>
    <row r="72">
      <c r="A72" s="555" t="str">
        <f t="shared" si="52"/>
        <v>#REF!</v>
      </c>
      <c r="B72" s="551" t="str">
        <f t="shared" si="53"/>
        <v>#REF!</v>
      </c>
      <c r="C72" s="552" t="str">
        <f t="shared" ref="C72:E72" si="57">'Week 2 (MASTER SHEET)'!C72</f>
        <v>#REF!</v>
      </c>
      <c r="D72" s="551" t="str">
        <f t="shared" si="57"/>
        <v>#REF!</v>
      </c>
      <c r="E72" s="553" t="str">
        <f t="shared" si="57"/>
        <v>#REF!</v>
      </c>
      <c r="F72" s="531">
        <v>10.0</v>
      </c>
    </row>
    <row r="73">
      <c r="A73" s="556"/>
      <c r="B73" s="16"/>
      <c r="C73" s="16"/>
      <c r="D73" s="16"/>
      <c r="E73" s="16"/>
      <c r="F73" s="16"/>
    </row>
    <row r="74">
      <c r="A74" s="557" t="str">
        <f>'Week 2 (MASTER SHEET)'!A74</f>
        <v>#REF!</v>
      </c>
      <c r="B74" s="16"/>
      <c r="C74" s="16"/>
      <c r="D74" s="16"/>
      <c r="E74" s="16"/>
      <c r="F74" s="17"/>
    </row>
    <row r="75">
      <c r="A75" s="303"/>
      <c r="B75" s="2"/>
      <c r="C75" s="2"/>
      <c r="D75" s="2"/>
      <c r="E75" s="2"/>
      <c r="F75" s="37"/>
    </row>
    <row r="76">
      <c r="A76" s="558"/>
      <c r="B76" s="27"/>
      <c r="C76" s="27"/>
      <c r="D76" s="27"/>
      <c r="E76" s="27"/>
      <c r="F76" s="27"/>
    </row>
    <row r="77">
      <c r="A77" s="514" t="s">
        <v>27</v>
      </c>
      <c r="B77" s="27"/>
      <c r="C77" s="27"/>
      <c r="D77" s="27"/>
      <c r="E77" s="27"/>
      <c r="F77" s="28"/>
    </row>
    <row r="78">
      <c r="A78" s="559"/>
    </row>
    <row r="79">
      <c r="A79" s="518" t="str">
        <f t="shared" ref="A79:A83" si="58">'Week 2 (MASTER SHEET)'!A79</f>
        <v>#REF!</v>
      </c>
      <c r="B79" s="27"/>
      <c r="C79" s="27"/>
      <c r="D79" s="27"/>
      <c r="E79" s="27"/>
      <c r="F79" s="28"/>
    </row>
    <row r="80">
      <c r="A80" s="473" t="str">
        <f t="shared" si="58"/>
        <v>#REF!</v>
      </c>
      <c r="B80" s="44"/>
      <c r="C80" s="44"/>
      <c r="D80" s="44"/>
      <c r="E80" s="44"/>
      <c r="F80" s="45"/>
    </row>
    <row r="81">
      <c r="A81" s="49" t="str">
        <f t="shared" si="58"/>
        <v>#REF!</v>
      </c>
      <c r="B81" s="50" t="str">
        <f t="shared" ref="B81:F81" si="59">'Week 2 (MASTER SHEET)'!B81</f>
        <v>#REF!</v>
      </c>
      <c r="C81" s="50" t="str">
        <f t="shared" si="59"/>
        <v>#REF!</v>
      </c>
      <c r="D81" s="50" t="str">
        <f t="shared" si="59"/>
        <v>#REF!</v>
      </c>
      <c r="E81" s="560" t="str">
        <f t="shared" si="59"/>
        <v>#REF!</v>
      </c>
      <c r="F81" s="202" t="str">
        <f t="shared" si="59"/>
        <v>#REF!</v>
      </c>
    </row>
    <row r="82">
      <c r="A82" s="53" t="str">
        <f t="shared" si="58"/>
        <v>#REF!</v>
      </c>
      <c r="B82" s="561" t="str">
        <f t="shared" ref="B82:E82" si="60">'Week 2 (MASTER SHEET)'!B82</f>
        <v>#REF!</v>
      </c>
      <c r="C82" s="561" t="str">
        <f t="shared" si="60"/>
        <v>#REF!</v>
      </c>
      <c r="D82" s="561" t="str">
        <f t="shared" si="60"/>
        <v>#REF!</v>
      </c>
      <c r="E82" s="562" t="str">
        <f t="shared" si="60"/>
        <v>#REF!</v>
      </c>
      <c r="F82" s="531"/>
    </row>
    <row r="83">
      <c r="A83" s="59" t="str">
        <f t="shared" si="58"/>
        <v>#REF!</v>
      </c>
      <c r="B83" s="563" t="str">
        <f t="shared" ref="B83:E83" si="61">'Week 2 (MASTER SHEET)'!B83</f>
        <v>#REF!</v>
      </c>
      <c r="C83" s="563" t="str">
        <f t="shared" si="61"/>
        <v>#REF!</v>
      </c>
      <c r="D83" s="563" t="str">
        <f t="shared" si="61"/>
        <v>#REF!</v>
      </c>
      <c r="E83" s="564" t="str">
        <f t="shared" si="61"/>
        <v>#REF!</v>
      </c>
      <c r="F83" s="531"/>
    </row>
    <row r="84">
      <c r="A84" s="554"/>
    </row>
    <row r="86">
      <c r="A86" s="473" t="str">
        <f t="shared" ref="A86:A96" si="62">'Week 2 (MASTER SHEET)'!A86</f>
        <v>#REF!</v>
      </c>
      <c r="B86" s="44"/>
      <c r="C86" s="44"/>
      <c r="D86" s="44"/>
      <c r="E86" s="44"/>
      <c r="F86" s="45"/>
    </row>
    <row r="87">
      <c r="A87" s="565" t="str">
        <f t="shared" si="62"/>
        <v>#REF!</v>
      </c>
      <c r="B87" s="194">
        <v>240.0</v>
      </c>
      <c r="C87" s="11"/>
      <c r="D87" s="11"/>
      <c r="E87" s="11"/>
      <c r="F87" s="86"/>
    </row>
    <row r="88">
      <c r="A88" s="543" t="str">
        <f t="shared" si="62"/>
        <v>#REF!</v>
      </c>
      <c r="B88" s="544" t="str">
        <f t="shared" ref="B88:F88" si="63">'Week 2 (MASTER SHEET)'!B88</f>
        <v>#REF!</v>
      </c>
      <c r="C88" s="544" t="str">
        <f t="shared" si="63"/>
        <v>#REF!</v>
      </c>
      <c r="D88" s="544" t="str">
        <f t="shared" si="63"/>
        <v>#REF!</v>
      </c>
      <c r="E88" s="545" t="str">
        <f t="shared" si="63"/>
        <v>#REF!</v>
      </c>
      <c r="F88" s="202" t="str">
        <f t="shared" si="63"/>
        <v>#REF!</v>
      </c>
    </row>
    <row r="89">
      <c r="A89" s="546" t="str">
        <f t="shared" si="62"/>
        <v>#REF!</v>
      </c>
      <c r="B89" s="547" t="str">
        <f t="shared" ref="B89:E89" si="64">'Week 2 (MASTER SHEET)'!B89</f>
        <v>#REF!</v>
      </c>
      <c r="C89" s="547" t="str">
        <f t="shared" si="64"/>
        <v>#REF!</v>
      </c>
      <c r="D89" s="547" t="str">
        <f t="shared" si="64"/>
        <v>#REF!</v>
      </c>
      <c r="E89" s="549" t="str">
        <f t="shared" si="64"/>
        <v>#REF!</v>
      </c>
      <c r="F89" s="531">
        <v>20.0</v>
      </c>
    </row>
    <row r="90">
      <c r="A90" s="546" t="str">
        <f t="shared" si="62"/>
        <v>#REF!</v>
      </c>
      <c r="B90" s="547" t="str">
        <f t="shared" ref="B90:E90" si="65">'Week 2 (MASTER SHEET)'!B90</f>
        <v>#REF!</v>
      </c>
      <c r="C90" s="547" t="str">
        <f t="shared" si="65"/>
        <v>#REF!</v>
      </c>
      <c r="D90" s="547" t="str">
        <f t="shared" si="65"/>
        <v>#REF!</v>
      </c>
      <c r="E90" s="549" t="str">
        <f t="shared" si="65"/>
        <v>#REF!</v>
      </c>
      <c r="F90" s="531">
        <v>20.0</v>
      </c>
    </row>
    <row r="91">
      <c r="A91" s="546" t="str">
        <f t="shared" si="62"/>
        <v>#REF!</v>
      </c>
      <c r="B91" s="547" t="str">
        <f t="shared" ref="B91:E91" si="66">'Week 2 (MASTER SHEET)'!B91</f>
        <v>#REF!</v>
      </c>
      <c r="C91" s="547" t="str">
        <f t="shared" si="66"/>
        <v>#REF!</v>
      </c>
      <c r="D91" s="547" t="str">
        <f t="shared" si="66"/>
        <v>#REF!</v>
      </c>
      <c r="E91" s="549" t="str">
        <f t="shared" si="66"/>
        <v>#REF!</v>
      </c>
      <c r="F91" s="531">
        <v>40.0</v>
      </c>
    </row>
    <row r="92">
      <c r="A92" s="546" t="str">
        <f t="shared" si="62"/>
        <v>#REF!</v>
      </c>
      <c r="B92" s="547" t="str">
        <f t="shared" ref="B92:E92" si="67">'Week 2 (MASTER SHEET)'!B92</f>
        <v>#REF!</v>
      </c>
      <c r="C92" s="547" t="str">
        <f t="shared" si="67"/>
        <v>#REF!</v>
      </c>
      <c r="D92" s="547" t="str">
        <f t="shared" si="67"/>
        <v>#REF!</v>
      </c>
      <c r="E92" s="549" t="str">
        <f t="shared" si="67"/>
        <v>#REF!</v>
      </c>
      <c r="F92" s="531">
        <v>40.0</v>
      </c>
    </row>
    <row r="93">
      <c r="A93" s="546" t="str">
        <f t="shared" si="62"/>
        <v>#REF!</v>
      </c>
      <c r="B93" s="547" t="str">
        <f t="shared" ref="B93:E93" si="68">'Week 2 (MASTER SHEET)'!B93</f>
        <v>#REF!</v>
      </c>
      <c r="C93" s="547" t="str">
        <f t="shared" si="68"/>
        <v>#REF!</v>
      </c>
      <c r="D93" s="547" t="str">
        <f t="shared" si="68"/>
        <v>#REF!</v>
      </c>
      <c r="E93" s="549" t="str">
        <f t="shared" si="68"/>
        <v>#REF!</v>
      </c>
      <c r="F93" s="531">
        <v>40.0</v>
      </c>
    </row>
    <row r="94">
      <c r="A94" s="546" t="str">
        <f t="shared" si="62"/>
        <v>#REF!</v>
      </c>
      <c r="B94" s="547" t="str">
        <f t="shared" ref="B94:E94" si="69">'Week 2 (MASTER SHEET)'!B94</f>
        <v>#REF!</v>
      </c>
      <c r="C94" s="548" t="str">
        <f t="shared" si="69"/>
        <v>#REF!</v>
      </c>
      <c r="D94" s="547" t="str">
        <f t="shared" si="69"/>
        <v>#REF!</v>
      </c>
      <c r="E94" s="549" t="str">
        <f t="shared" si="69"/>
        <v>#REF!</v>
      </c>
      <c r="F94" s="531">
        <v>40.0</v>
      </c>
    </row>
    <row r="95">
      <c r="A95" s="546" t="str">
        <f t="shared" si="62"/>
        <v>#REF!</v>
      </c>
      <c r="B95" s="547" t="str">
        <f t="shared" ref="B95:E95" si="70">'Week 2 (MASTER SHEET)'!B95</f>
        <v>#REF!</v>
      </c>
      <c r="C95" s="548" t="str">
        <f t="shared" si="70"/>
        <v>#REF!</v>
      </c>
      <c r="D95" s="547" t="str">
        <f t="shared" si="70"/>
        <v>#REF!</v>
      </c>
      <c r="E95" s="549" t="str">
        <f t="shared" si="70"/>
        <v>#REF!</v>
      </c>
      <c r="F95" s="531">
        <v>40.0</v>
      </c>
    </row>
    <row r="96">
      <c r="A96" s="239" t="str">
        <f t="shared" si="62"/>
        <v>#REF!</v>
      </c>
      <c r="B96" s="299" t="str">
        <f>'Week 2 (MASTER SHEET)'!B96</f>
        <v>#REF!</v>
      </c>
      <c r="C96" s="24"/>
      <c r="D96" s="24"/>
      <c r="E96" s="24"/>
      <c r="F96" s="25"/>
    </row>
    <row r="97">
      <c r="A97" s="566"/>
    </row>
    <row r="99">
      <c r="A99" s="473" t="str">
        <f t="shared" ref="A99:A104" si="71">'Week 2 (MASTER SHEET)'!A99</f>
        <v>#REF!</v>
      </c>
      <c r="B99" s="44"/>
      <c r="C99" s="44"/>
      <c r="D99" s="44"/>
      <c r="E99" s="44"/>
      <c r="F99" s="45"/>
    </row>
    <row r="100">
      <c r="A100" s="193" t="str">
        <f t="shared" si="71"/>
        <v>#REF!</v>
      </c>
      <c r="B100" s="542" t="str">
        <f t="shared" ref="B100:B105" si="72">'Week 2 (MASTER SHEET)'!B100</f>
        <v>#REF!</v>
      </c>
      <c r="C100" s="4"/>
      <c r="D100" s="4"/>
      <c r="E100" s="4"/>
      <c r="F100" s="48"/>
    </row>
    <row r="101">
      <c r="A101" s="331" t="str">
        <f t="shared" si="71"/>
        <v>#REF!</v>
      </c>
      <c r="B101" s="332" t="str">
        <f t="shared" si="72"/>
        <v>#REF!</v>
      </c>
      <c r="C101" s="332" t="str">
        <f t="shared" ref="C101:F101" si="73">'Week 2 (MASTER SHEET)'!C101</f>
        <v>#REF!</v>
      </c>
      <c r="D101" s="332" t="str">
        <f t="shared" si="73"/>
        <v>#REF!</v>
      </c>
      <c r="E101" s="526" t="str">
        <f t="shared" si="73"/>
        <v>#REF!</v>
      </c>
      <c r="F101" s="202" t="str">
        <f t="shared" si="73"/>
        <v>#REF!</v>
      </c>
    </row>
    <row r="102">
      <c r="A102" s="546" t="str">
        <f t="shared" si="71"/>
        <v>#REF!</v>
      </c>
      <c r="B102" s="567" t="str">
        <f t="shared" si="72"/>
        <v>#REF!</v>
      </c>
      <c r="C102" s="567" t="str">
        <f t="shared" ref="C102:E102" si="74">'Week 2 (MASTER SHEET)'!C102</f>
        <v>#REF!</v>
      </c>
      <c r="D102" s="567" t="str">
        <f t="shared" si="74"/>
        <v>#REF!</v>
      </c>
      <c r="E102" s="568" t="str">
        <f t="shared" si="74"/>
        <v>#REF!</v>
      </c>
      <c r="F102" s="531">
        <v>10.0</v>
      </c>
    </row>
    <row r="103">
      <c r="A103" s="546" t="str">
        <f t="shared" si="71"/>
        <v>#REF!</v>
      </c>
      <c r="B103" s="567" t="str">
        <f t="shared" si="72"/>
        <v>#REF!</v>
      </c>
      <c r="C103" s="567" t="str">
        <f t="shared" ref="C103:E103" si="75">'Week 2 (MASTER SHEET)'!C103</f>
        <v>#REF!</v>
      </c>
      <c r="D103" s="567" t="str">
        <f t="shared" si="75"/>
        <v>#REF!</v>
      </c>
      <c r="E103" s="568" t="str">
        <f t="shared" si="75"/>
        <v>#REF!</v>
      </c>
      <c r="F103" s="531">
        <v>10.0</v>
      </c>
    </row>
    <row r="104">
      <c r="A104" s="546" t="str">
        <f t="shared" si="71"/>
        <v>#REF!</v>
      </c>
      <c r="B104" s="567" t="str">
        <f t="shared" si="72"/>
        <v>#REF!</v>
      </c>
      <c r="C104" s="567" t="str">
        <f t="shared" ref="C104:E104" si="76">'Week 2 (MASTER SHEET)'!C104</f>
        <v>#REF!</v>
      </c>
      <c r="D104" s="567" t="str">
        <f t="shared" si="76"/>
        <v>#REF!</v>
      </c>
      <c r="E104" s="568" t="str">
        <f t="shared" si="76"/>
        <v>#REF!</v>
      </c>
      <c r="F104" s="531">
        <v>12.0</v>
      </c>
    </row>
    <row r="105">
      <c r="A105" s="239" t="s">
        <v>91</v>
      </c>
      <c r="B105" s="299" t="str">
        <f t="shared" si="72"/>
        <v>#REF!</v>
      </c>
      <c r="C105" s="24"/>
      <c r="D105" s="24"/>
      <c r="E105" s="24"/>
      <c r="F105" s="25"/>
    </row>
    <row r="106">
      <c r="A106" s="569"/>
    </row>
    <row r="108">
      <c r="A108" s="570" t="str">
        <f t="shared" ref="A108:A113" si="77">'Week 2 (MASTER SHEET)'!A108</f>
        <v>#REF!</v>
      </c>
      <c r="B108" s="44"/>
      <c r="C108" s="44"/>
      <c r="D108" s="44"/>
      <c r="E108" s="44"/>
      <c r="F108" s="45"/>
      <c r="G108" s="519" t="s">
        <v>90</v>
      </c>
      <c r="H108" s="570" t="str">
        <f t="shared" ref="H108:H114" si="78">'Week 2 (MASTER SHEET)'!H108</f>
        <v>#REF!</v>
      </c>
      <c r="I108" s="44"/>
      <c r="J108" s="44"/>
      <c r="K108" s="44"/>
      <c r="L108" s="44"/>
      <c r="M108" s="45"/>
    </row>
    <row r="109">
      <c r="A109" s="193" t="str">
        <f t="shared" si="77"/>
        <v>#REF!</v>
      </c>
      <c r="B109" s="542" t="str">
        <f t="shared" ref="B109:B114" si="79">'Week 2 (MASTER SHEET)'!B109</f>
        <v>#REF!</v>
      </c>
      <c r="C109" s="4"/>
      <c r="D109" s="4"/>
      <c r="E109" s="4"/>
      <c r="F109" s="48"/>
      <c r="H109" s="571" t="str">
        <f t="shared" si="78"/>
        <v>#REF!</v>
      </c>
      <c r="I109" s="572" t="str">
        <f t="shared" ref="I109:I114" si="81">'Week 2 (MASTER SHEET)'!I109</f>
        <v>#REF!</v>
      </c>
      <c r="J109" s="11"/>
      <c r="K109" s="11"/>
      <c r="L109" s="11"/>
      <c r="M109" s="86"/>
    </row>
    <row r="110">
      <c r="A110" s="331" t="str">
        <f t="shared" si="77"/>
        <v>#REF!</v>
      </c>
      <c r="B110" s="332" t="str">
        <f t="shared" si="79"/>
        <v>#REF!</v>
      </c>
      <c r="C110" s="332" t="str">
        <f t="shared" ref="C110:F110" si="80">'Week 2 (MASTER SHEET)'!C110</f>
        <v>#REF!</v>
      </c>
      <c r="D110" s="332" t="str">
        <f t="shared" si="80"/>
        <v>#REF!</v>
      </c>
      <c r="E110" s="526" t="str">
        <f t="shared" si="80"/>
        <v>#REF!</v>
      </c>
      <c r="F110" s="202" t="str">
        <f t="shared" si="80"/>
        <v>#REF!</v>
      </c>
      <c r="G110" s="573"/>
      <c r="H110" s="331" t="str">
        <f t="shared" si="78"/>
        <v>#REF!</v>
      </c>
      <c r="I110" s="332" t="str">
        <f t="shared" si="81"/>
        <v>#REF!</v>
      </c>
      <c r="J110" s="332" t="str">
        <f t="shared" ref="J110:M110" si="82">'Week 2 (MASTER SHEET)'!J110</f>
        <v>#REF!</v>
      </c>
      <c r="K110" s="332" t="str">
        <f t="shared" si="82"/>
        <v>#REF!</v>
      </c>
      <c r="L110" s="526" t="str">
        <f t="shared" si="82"/>
        <v>#REF!</v>
      </c>
      <c r="M110" s="202" t="str">
        <f t="shared" si="82"/>
        <v>#REF!</v>
      </c>
    </row>
    <row r="111">
      <c r="A111" s="546" t="str">
        <f t="shared" si="77"/>
        <v>#REF!</v>
      </c>
      <c r="B111" s="567" t="str">
        <f t="shared" si="79"/>
        <v>#REF!</v>
      </c>
      <c r="C111" s="567" t="str">
        <f t="shared" ref="C111:E111" si="83">'Week 2 (MASTER SHEET)'!C111</f>
        <v>#REF!</v>
      </c>
      <c r="D111" s="567" t="str">
        <f t="shared" si="83"/>
        <v>#REF!</v>
      </c>
      <c r="E111" s="567" t="str">
        <f t="shared" si="83"/>
        <v>#REF!</v>
      </c>
      <c r="F111" s="531">
        <v>12.0</v>
      </c>
      <c r="H111" s="574" t="str">
        <f t="shared" si="78"/>
        <v>#REF!</v>
      </c>
      <c r="I111" s="567" t="str">
        <f t="shared" si="81"/>
        <v>#REF!</v>
      </c>
      <c r="J111" s="567" t="str">
        <f t="shared" ref="J111:L111" si="84">'Week 2 (MASTER SHEET)'!J111</f>
        <v>#REF!</v>
      </c>
      <c r="K111" s="567" t="str">
        <f t="shared" si="84"/>
        <v>#REF!</v>
      </c>
      <c r="L111" s="567" t="str">
        <f t="shared" si="84"/>
        <v>#REF!</v>
      </c>
      <c r="M111" s="531"/>
    </row>
    <row r="112">
      <c r="A112" s="546" t="str">
        <f t="shared" si="77"/>
        <v>#REF!</v>
      </c>
      <c r="B112" s="567" t="str">
        <f t="shared" si="79"/>
        <v>#REF!</v>
      </c>
      <c r="C112" s="567" t="str">
        <f t="shared" ref="C112:E112" si="85">'Week 2 (MASTER SHEET)'!C112</f>
        <v>#REF!</v>
      </c>
      <c r="D112" s="567" t="str">
        <f t="shared" si="85"/>
        <v>#REF!</v>
      </c>
      <c r="E112" s="567" t="str">
        <f t="shared" si="85"/>
        <v>#REF!</v>
      </c>
      <c r="F112" s="531">
        <v>19.0</v>
      </c>
      <c r="H112" s="574" t="str">
        <f t="shared" si="78"/>
        <v>#REF!</v>
      </c>
      <c r="I112" s="567" t="str">
        <f t="shared" si="81"/>
        <v>#REF!</v>
      </c>
      <c r="J112" s="575" t="str">
        <f t="shared" ref="J112:L112" si="86">'Week 2 (MASTER SHEET)'!J112</f>
        <v>#REF!</v>
      </c>
      <c r="K112" s="567" t="str">
        <f t="shared" si="86"/>
        <v>#REF!</v>
      </c>
      <c r="L112" s="567" t="str">
        <f t="shared" si="86"/>
        <v>#REF!</v>
      </c>
      <c r="M112" s="531"/>
    </row>
    <row r="113">
      <c r="A113" s="546" t="str">
        <f t="shared" si="77"/>
        <v>#REF!</v>
      </c>
      <c r="B113" s="567" t="str">
        <f t="shared" si="79"/>
        <v>#REF!</v>
      </c>
      <c r="C113" s="567" t="str">
        <f t="shared" ref="C113:E113" si="87">'Week 2 (MASTER SHEET)'!C113</f>
        <v>#REF!</v>
      </c>
      <c r="D113" s="567" t="str">
        <f t="shared" si="87"/>
        <v>#REF!</v>
      </c>
      <c r="E113" s="567" t="str">
        <f t="shared" si="87"/>
        <v>#REF!</v>
      </c>
      <c r="F113" s="531">
        <v>12.0</v>
      </c>
      <c r="H113" s="574" t="str">
        <f t="shared" si="78"/>
        <v>#REF!</v>
      </c>
      <c r="I113" s="567" t="str">
        <f t="shared" si="81"/>
        <v>#REF!</v>
      </c>
      <c r="J113" s="575" t="str">
        <f t="shared" ref="J113:L113" si="88">'Week 2 (MASTER SHEET)'!J113</f>
        <v>#REF!</v>
      </c>
      <c r="K113" s="567" t="str">
        <f t="shared" si="88"/>
        <v>#REF!</v>
      </c>
      <c r="L113" s="567" t="str">
        <f t="shared" si="88"/>
        <v>#REF!</v>
      </c>
      <c r="M113" s="531"/>
    </row>
    <row r="114">
      <c r="A114" s="239" t="s">
        <v>91</v>
      </c>
      <c r="B114" s="299" t="str">
        <f t="shared" si="79"/>
        <v>#REF!</v>
      </c>
      <c r="C114" s="24"/>
      <c r="D114" s="24"/>
      <c r="E114" s="24"/>
      <c r="F114" s="25"/>
      <c r="H114" s="239" t="str">
        <f t="shared" si="78"/>
        <v>#REF!</v>
      </c>
      <c r="I114" s="299" t="str">
        <f t="shared" si="81"/>
        <v>#REF!</v>
      </c>
      <c r="J114" s="24"/>
      <c r="K114" s="24"/>
      <c r="L114" s="24"/>
      <c r="M114" s="25"/>
    </row>
    <row r="115">
      <c r="A115" s="576"/>
      <c r="G115" s="573"/>
    </row>
    <row r="116">
      <c r="A116" s="577" t="str">
        <f>'Week 2 (MASTER SHEET)'!A116</f>
        <v>#REF!</v>
      </c>
      <c r="B116" s="27"/>
      <c r="C116" s="27"/>
      <c r="D116" s="27"/>
      <c r="E116" s="27"/>
      <c r="F116" s="28"/>
    </row>
    <row r="117">
      <c r="A117" s="578"/>
    </row>
    <row r="118">
      <c r="A118" s="579" t="str">
        <f>'Week 2 (MASTER SHEET)'!A118</f>
        <v>#REF!</v>
      </c>
      <c r="B118" s="27"/>
      <c r="C118" s="27"/>
      <c r="D118" s="27"/>
      <c r="E118" s="27"/>
      <c r="F118" s="28"/>
    </row>
    <row r="119">
      <c r="A119" s="518" t="s">
        <v>98</v>
      </c>
      <c r="B119" s="27"/>
      <c r="C119" s="27"/>
      <c r="D119" s="27"/>
      <c r="E119" s="27"/>
      <c r="F119" s="28"/>
    </row>
    <row r="120">
      <c r="A120" s="570" t="str">
        <f t="shared" ref="A120:A125" si="89">'Week 2 (MASTER SHEET)'!A120</f>
        <v>#REF!</v>
      </c>
      <c r="B120" s="44"/>
      <c r="C120" s="44"/>
      <c r="D120" s="44"/>
      <c r="E120" s="44"/>
      <c r="F120" s="45"/>
    </row>
    <row r="121">
      <c r="A121" s="193" t="str">
        <f t="shared" si="89"/>
        <v>#REF!</v>
      </c>
      <c r="B121" s="194">
        <v>30.0</v>
      </c>
      <c r="C121" s="11"/>
      <c r="D121" s="11"/>
      <c r="E121" s="11"/>
      <c r="F121" s="86"/>
    </row>
    <row r="122">
      <c r="A122" s="331" t="str">
        <f t="shared" si="89"/>
        <v>#REF!</v>
      </c>
      <c r="B122" s="332" t="str">
        <f t="shared" ref="B122:F122" si="90">'Week 2 (MASTER SHEET)'!B122</f>
        <v>#REF!</v>
      </c>
      <c r="C122" s="332" t="str">
        <f t="shared" si="90"/>
        <v>#REF!</v>
      </c>
      <c r="D122" s="332" t="str">
        <f t="shared" si="90"/>
        <v>#REF!</v>
      </c>
      <c r="E122" s="526" t="str">
        <f t="shared" si="90"/>
        <v>#REF!</v>
      </c>
      <c r="F122" s="202" t="str">
        <f t="shared" si="90"/>
        <v>#REF!</v>
      </c>
    </row>
    <row r="123">
      <c r="A123" s="546" t="str">
        <f t="shared" si="89"/>
        <v>#REF!</v>
      </c>
      <c r="B123" s="547" t="str">
        <f t="shared" ref="B123:E123" si="91">'Week 2 (MASTER SHEET)'!B123</f>
        <v>#REF!</v>
      </c>
      <c r="C123" s="547" t="str">
        <f t="shared" si="91"/>
        <v>#REF!</v>
      </c>
      <c r="D123" s="547" t="str">
        <f t="shared" si="91"/>
        <v>#REF!</v>
      </c>
      <c r="E123" s="549" t="str">
        <f t="shared" si="91"/>
        <v>#REF!</v>
      </c>
      <c r="F123" s="531">
        <v>20.0</v>
      </c>
    </row>
    <row r="124">
      <c r="A124" s="546" t="str">
        <f t="shared" si="89"/>
        <v>#REF!</v>
      </c>
      <c r="B124" s="547" t="str">
        <f t="shared" ref="B124:E124" si="92">'Week 2 (MASTER SHEET)'!B124</f>
        <v>#REF!</v>
      </c>
      <c r="C124" s="547" t="str">
        <f t="shared" si="92"/>
        <v>#REF!</v>
      </c>
      <c r="D124" s="547" t="str">
        <f t="shared" si="92"/>
        <v>#REF!</v>
      </c>
      <c r="E124" s="549" t="str">
        <f t="shared" si="92"/>
        <v>#REF!</v>
      </c>
      <c r="F124" s="531">
        <v>20.0</v>
      </c>
    </row>
    <row r="125">
      <c r="A125" s="550" t="str">
        <f t="shared" si="89"/>
        <v>#REF!</v>
      </c>
      <c r="B125" s="551" t="str">
        <f t="shared" ref="B125:E125" si="93">'Week 2 (MASTER SHEET)'!B125</f>
        <v>#REF!</v>
      </c>
      <c r="C125" s="551" t="str">
        <f t="shared" si="93"/>
        <v>#REF!</v>
      </c>
      <c r="D125" s="551" t="str">
        <f t="shared" si="93"/>
        <v>#REF!</v>
      </c>
      <c r="E125" s="553" t="str">
        <f t="shared" si="93"/>
        <v>#REF!</v>
      </c>
      <c r="F125" s="531">
        <v>20.0</v>
      </c>
    </row>
    <row r="126">
      <c r="A126" s="539"/>
    </row>
    <row r="128">
      <c r="A128" s="580" t="str">
        <f t="shared" ref="A128:A133" si="94">'Week 2 (MASTER SHEET)'!A128</f>
        <v>#REF!</v>
      </c>
      <c r="B128" s="44"/>
      <c r="C128" s="44"/>
      <c r="D128" s="44"/>
      <c r="E128" s="44"/>
      <c r="F128" s="45"/>
      <c r="G128" s="519"/>
      <c r="H128" s="581"/>
    </row>
    <row r="129">
      <c r="A129" s="193" t="str">
        <f t="shared" si="94"/>
        <v>#REF!</v>
      </c>
      <c r="B129" s="542">
        <v>30.0</v>
      </c>
      <c r="C129" s="4"/>
      <c r="D129" s="4"/>
      <c r="E129" s="4"/>
      <c r="F129" s="48"/>
      <c r="G129" s="519"/>
    </row>
    <row r="130">
      <c r="A130" s="582" t="str">
        <f t="shared" si="94"/>
        <v>#REF!</v>
      </c>
      <c r="B130" s="583" t="str">
        <f t="shared" ref="B130:F130" si="95">'Week 2 (MASTER SHEET)'!B130</f>
        <v>#REF!</v>
      </c>
      <c r="C130" s="583" t="str">
        <f t="shared" si="95"/>
        <v>#REF!</v>
      </c>
      <c r="D130" s="583" t="str">
        <f t="shared" si="95"/>
        <v>#REF!</v>
      </c>
      <c r="E130" s="584" t="str">
        <f t="shared" si="95"/>
        <v>#REF!</v>
      </c>
      <c r="F130" s="202" t="str">
        <f t="shared" si="95"/>
        <v>#REF!</v>
      </c>
    </row>
    <row r="131">
      <c r="A131" s="585" t="str">
        <f t="shared" si="94"/>
        <v>#REF!</v>
      </c>
      <c r="B131" s="567" t="str">
        <f t="shared" ref="B131:E131" si="96">'Week 2 (MASTER SHEET)'!B131</f>
        <v>#REF!</v>
      </c>
      <c r="C131" s="567" t="str">
        <f t="shared" si="96"/>
        <v>#REF!</v>
      </c>
      <c r="D131" s="567" t="str">
        <f t="shared" si="96"/>
        <v>#REF!</v>
      </c>
      <c r="E131" s="586" t="str">
        <f t="shared" si="96"/>
        <v>#REF!</v>
      </c>
      <c r="F131" s="531">
        <v>20.0</v>
      </c>
    </row>
    <row r="132">
      <c r="A132" s="585" t="str">
        <f t="shared" si="94"/>
        <v>#REF!</v>
      </c>
      <c r="B132" s="567" t="str">
        <f t="shared" ref="B132:E132" si="97">'Week 2 (MASTER SHEET)'!B132</f>
        <v>#REF!</v>
      </c>
      <c r="C132" s="567" t="str">
        <f t="shared" si="97"/>
        <v>#REF!</v>
      </c>
      <c r="D132" s="567" t="str">
        <f t="shared" si="97"/>
        <v>#REF!</v>
      </c>
      <c r="E132" s="586" t="str">
        <f t="shared" si="97"/>
        <v>#REF!</v>
      </c>
      <c r="F132" s="531">
        <v>20.0</v>
      </c>
    </row>
    <row r="133">
      <c r="A133" s="587" t="str">
        <f t="shared" si="94"/>
        <v>#REF!</v>
      </c>
      <c r="B133" s="588" t="str">
        <f t="shared" ref="B133:E133" si="98">'Week 2 (MASTER SHEET)'!B133</f>
        <v>#REF!</v>
      </c>
      <c r="C133" s="588" t="str">
        <f t="shared" si="98"/>
        <v>#REF!</v>
      </c>
      <c r="D133" s="588" t="str">
        <f t="shared" si="98"/>
        <v>#REF!</v>
      </c>
      <c r="E133" s="589" t="str">
        <f t="shared" si="98"/>
        <v>#REF!</v>
      </c>
      <c r="F133" s="531">
        <v>20.0</v>
      </c>
    </row>
    <row r="134">
      <c r="A134" s="554"/>
      <c r="G134" s="573"/>
    </row>
    <row r="136">
      <c r="A136" s="489" t="str">
        <f>'Week 2 (MASTER SHEET)'!A136</f>
        <v>#REF!</v>
      </c>
      <c r="B136" s="44"/>
      <c r="C136" s="44"/>
      <c r="D136" s="44"/>
      <c r="E136" s="44"/>
      <c r="F136" s="45"/>
    </row>
    <row r="137">
      <c r="A137" s="193" t="str">
        <f>'Week 2 (MASTER SHEET)'!A129</f>
        <v>#REF!</v>
      </c>
      <c r="B137" s="81">
        <v>30.0</v>
      </c>
      <c r="C137" s="4"/>
      <c r="D137" s="4"/>
      <c r="E137" s="4"/>
      <c r="F137" s="48"/>
    </row>
    <row r="138">
      <c r="A138" s="343" t="str">
        <f t="shared" ref="A138:F138" si="99">'Week 2 (MASTER SHEET)'!A138</f>
        <v>#REF!</v>
      </c>
      <c r="B138" s="70" t="str">
        <f t="shared" si="99"/>
        <v>#REF!</v>
      </c>
      <c r="C138" s="70" t="str">
        <f t="shared" si="99"/>
        <v>#REF!</v>
      </c>
      <c r="D138" s="70" t="str">
        <f t="shared" si="99"/>
        <v>#REF!</v>
      </c>
      <c r="E138" s="308" t="str">
        <f t="shared" si="99"/>
        <v>#REF!</v>
      </c>
      <c r="F138" s="202" t="str">
        <f t="shared" si="99"/>
        <v>#REF!</v>
      </c>
    </row>
    <row r="139">
      <c r="A139" s="490" t="str">
        <f t="shared" ref="A139:E139" si="100">'Week 2 (MASTER SHEET)'!A139</f>
        <v>#REF!</v>
      </c>
      <c r="B139" s="73" t="str">
        <f t="shared" si="100"/>
        <v>#REF!</v>
      </c>
      <c r="C139" s="73" t="str">
        <f t="shared" si="100"/>
        <v>#REF!</v>
      </c>
      <c r="D139" s="73" t="str">
        <f t="shared" si="100"/>
        <v>#REF!</v>
      </c>
      <c r="E139" s="590" t="str">
        <f t="shared" si="100"/>
        <v>#REF!</v>
      </c>
      <c r="F139" s="591">
        <v>20.0</v>
      </c>
    </row>
    <row r="140">
      <c r="A140" s="490" t="str">
        <f t="shared" ref="A140:E140" si="101">'Week 2 (MASTER SHEET)'!A140</f>
        <v>#REF!</v>
      </c>
      <c r="B140" s="73" t="str">
        <f t="shared" si="101"/>
        <v>#REF!</v>
      </c>
      <c r="C140" s="73" t="str">
        <f t="shared" si="101"/>
        <v>#REF!</v>
      </c>
      <c r="D140" s="73" t="str">
        <f t="shared" si="101"/>
        <v>#REF!</v>
      </c>
      <c r="E140" s="590" t="str">
        <f t="shared" si="101"/>
        <v>#REF!</v>
      </c>
      <c r="F140" s="297">
        <v>20.0</v>
      </c>
    </row>
    <row r="141">
      <c r="A141" s="493" t="str">
        <f t="shared" ref="A141:E141" si="102">'Week 2 (MASTER SHEET)'!A141</f>
        <v>#REF!</v>
      </c>
      <c r="B141" s="78" t="str">
        <f t="shared" si="102"/>
        <v>#REF!</v>
      </c>
      <c r="C141" s="78" t="str">
        <f t="shared" si="102"/>
        <v>#REF!</v>
      </c>
      <c r="D141" s="78" t="str">
        <f t="shared" si="102"/>
        <v>#REF!</v>
      </c>
      <c r="E141" s="592" t="str">
        <f t="shared" si="102"/>
        <v>#REF!</v>
      </c>
      <c r="F141" s="76">
        <v>20.0</v>
      </c>
    </row>
    <row r="142">
      <c r="A142" s="554"/>
    </row>
    <row r="144">
      <c r="A144" s="65" t="str">
        <f>HYPERLINK("https://www.youtube.com/watch?v=Yke__29qVfo","3. TRICEPS PUSHDOWN (STRAIGHT BAR)")</f>
        <v>3. TRICEPS PUSHDOWN (STRAIGHT BAR)</v>
      </c>
      <c r="B144" s="44"/>
      <c r="C144" s="44"/>
      <c r="D144" s="44"/>
      <c r="E144" s="44"/>
      <c r="F144" s="45"/>
    </row>
    <row r="145">
      <c r="A145" s="193" t="s">
        <v>86</v>
      </c>
      <c r="B145" s="593">
        <v>60.0</v>
      </c>
      <c r="C145" s="4"/>
      <c r="D145" s="4"/>
      <c r="E145" s="4"/>
      <c r="F145" s="48"/>
    </row>
    <row r="146">
      <c r="A146" s="68" t="s">
        <v>18</v>
      </c>
      <c r="B146" s="69" t="s">
        <v>19</v>
      </c>
      <c r="C146" s="69" t="s">
        <v>20</v>
      </c>
      <c r="D146" s="69" t="s">
        <v>21</v>
      </c>
      <c r="E146" s="71" t="s">
        <v>22</v>
      </c>
      <c r="F146" s="202" t="str">
        <f>'Week 2 (MASTER SHEET)'!F146</f>
        <v>#REF!</v>
      </c>
    </row>
    <row r="147">
      <c r="A147" s="72">
        <v>1.0</v>
      </c>
      <c r="B147" s="73" t="str">
        <f t="shared" ref="B147:E147" si="103">'Week 2 (MASTER SHEET)'!B147</f>
        <v>#REF!</v>
      </c>
      <c r="C147" s="56" t="str">
        <f t="shared" si="103"/>
        <v>#REF!</v>
      </c>
      <c r="D147" s="74" t="str">
        <f t="shared" si="103"/>
        <v>#REF!</v>
      </c>
      <c r="E147" s="75" t="str">
        <f t="shared" si="103"/>
        <v>#REF!</v>
      </c>
      <c r="F147" s="76">
        <v>20.0</v>
      </c>
    </row>
    <row r="148">
      <c r="A148" s="72" t="str">
        <f t="shared" ref="A148:D148" si="104">'Week 2 (MASTER SHEET)'!A148</f>
        <v>#REF!</v>
      </c>
      <c r="B148" s="73" t="str">
        <f t="shared" si="104"/>
        <v>#REF!</v>
      </c>
      <c r="C148" s="56" t="str">
        <f t="shared" si="104"/>
        <v>#REF!</v>
      </c>
      <c r="D148" s="74" t="str">
        <f t="shared" si="104"/>
        <v>#REF!</v>
      </c>
      <c r="E148" s="75"/>
      <c r="F148" s="76">
        <v>20.0</v>
      </c>
    </row>
    <row r="149">
      <c r="A149" s="77">
        <v>3.0</v>
      </c>
      <c r="B149" s="78" t="str">
        <f t="shared" ref="B149:E149" si="105">'Week 2 (MASTER SHEET)'!B149</f>
        <v>#REF!</v>
      </c>
      <c r="C149" s="62" t="str">
        <f t="shared" si="105"/>
        <v>#REF!</v>
      </c>
      <c r="D149" s="79" t="str">
        <f t="shared" si="105"/>
        <v>#REF!</v>
      </c>
      <c r="E149" s="80" t="str">
        <f t="shared" si="105"/>
        <v>#REF!</v>
      </c>
      <c r="F149" s="76">
        <v>20.0</v>
      </c>
    </row>
    <row r="150">
      <c r="A150" s="594"/>
      <c r="G150" s="595"/>
      <c r="H150" s="7"/>
      <c r="I150" s="7"/>
      <c r="J150" s="7"/>
      <c r="K150" s="7"/>
      <c r="L150" s="7"/>
      <c r="M150" s="7"/>
    </row>
    <row r="152">
      <c r="A152" s="66" t="str">
        <f t="shared" ref="A152:A157" si="106">'Week 2 (MASTER SHEET)'!A152</f>
        <v>#REF!</v>
      </c>
      <c r="B152" s="44"/>
      <c r="C152" s="44"/>
      <c r="D152" s="44"/>
      <c r="E152" s="44"/>
      <c r="F152" s="45"/>
      <c r="G152" s="519" t="s">
        <v>90</v>
      </c>
      <c r="H152" s="367" t="str">
        <f t="shared" ref="H152:H162" si="107">'Week 2 (MASTER SHEET)'!H152</f>
        <v>#REF!</v>
      </c>
      <c r="I152" s="16"/>
      <c r="J152" s="16"/>
      <c r="K152" s="16"/>
      <c r="L152" s="17"/>
      <c r="M152" s="596"/>
    </row>
    <row r="153">
      <c r="A153" s="193" t="str">
        <f t="shared" si="106"/>
        <v>#REF!</v>
      </c>
      <c r="B153" s="593">
        <v>60.0</v>
      </c>
      <c r="C153" s="4"/>
      <c r="D153" s="4"/>
      <c r="E153" s="4"/>
      <c r="F153" s="48"/>
      <c r="H153" s="597" t="str">
        <f t="shared" si="107"/>
        <v>#REF!</v>
      </c>
      <c r="I153" s="16"/>
      <c r="J153" s="16"/>
      <c r="K153" s="16"/>
      <c r="L153" s="17"/>
    </row>
    <row r="154">
      <c r="A154" s="68" t="str">
        <f t="shared" si="106"/>
        <v>#REF!</v>
      </c>
      <c r="B154" s="69" t="str">
        <f t="shared" ref="B154:F154" si="108">'Week 2 (MASTER SHEET)'!B154</f>
        <v>#REF!</v>
      </c>
      <c r="C154" s="69" t="str">
        <f t="shared" si="108"/>
        <v>#REF!</v>
      </c>
      <c r="D154" s="69" t="str">
        <f t="shared" si="108"/>
        <v>#REF!</v>
      </c>
      <c r="E154" s="71" t="str">
        <f t="shared" si="108"/>
        <v>#REF!</v>
      </c>
      <c r="F154" s="202" t="str">
        <f t="shared" si="108"/>
        <v>#REF!</v>
      </c>
      <c r="G154" s="598"/>
      <c r="H154" s="49" t="str">
        <f t="shared" si="107"/>
        <v>#REF!</v>
      </c>
      <c r="I154" s="599" t="str">
        <f t="shared" ref="I154:L154" si="109">'Week 2 (MASTER SHEET)'!I154</f>
        <v>#REF!</v>
      </c>
      <c r="J154" s="599" t="str">
        <f t="shared" si="109"/>
        <v>#REF!</v>
      </c>
      <c r="K154" s="600" t="str">
        <f t="shared" si="109"/>
        <v>#REF!</v>
      </c>
      <c r="L154" s="52" t="str">
        <f t="shared" si="109"/>
        <v>#REF!</v>
      </c>
    </row>
    <row r="155">
      <c r="A155" s="72" t="str">
        <f t="shared" si="106"/>
        <v>#REF!</v>
      </c>
      <c r="B155" s="73" t="str">
        <f t="shared" ref="B155:E155" si="110">'Week 2 (MASTER SHEET)'!B155</f>
        <v>#REF!</v>
      </c>
      <c r="C155" s="56" t="str">
        <f t="shared" si="110"/>
        <v>#REF!</v>
      </c>
      <c r="D155" s="74" t="str">
        <f t="shared" si="110"/>
        <v>#REF!</v>
      </c>
      <c r="E155" s="75" t="str">
        <f t="shared" si="110"/>
        <v>#REF!</v>
      </c>
      <c r="F155" s="76">
        <v>0.0</v>
      </c>
      <c r="H155" s="601" t="str">
        <f t="shared" si="107"/>
        <v>#REF!</v>
      </c>
      <c r="I155" s="158" t="str">
        <f t="shared" ref="I155:K155" si="111">'Week 2 (MASTER SHEET)'!I155</f>
        <v>#REF!</v>
      </c>
      <c r="J155" s="152" t="str">
        <f t="shared" si="111"/>
        <v>#REF!</v>
      </c>
      <c r="K155" s="139" t="str">
        <f t="shared" si="111"/>
        <v>#REF!</v>
      </c>
      <c r="L155" s="76"/>
    </row>
    <row r="156">
      <c r="A156" s="72" t="str">
        <f t="shared" si="106"/>
        <v>#REF!</v>
      </c>
      <c r="B156" s="73" t="str">
        <f t="shared" ref="B156:D156" si="112">'Week 2 (MASTER SHEET)'!B156</f>
        <v>#REF!</v>
      </c>
      <c r="C156" s="56" t="str">
        <f t="shared" si="112"/>
        <v>#REF!</v>
      </c>
      <c r="D156" s="74" t="str">
        <f t="shared" si="112"/>
        <v>#REF!</v>
      </c>
      <c r="E156" s="75"/>
      <c r="F156" s="76"/>
      <c r="H156" s="216" t="str">
        <f t="shared" si="107"/>
        <v>#REF!</v>
      </c>
      <c r="I156" s="205" t="str">
        <f t="shared" ref="I156:K156" si="113">'Week 2 (MASTER SHEET)'!I156</f>
        <v>#REF!</v>
      </c>
      <c r="J156" s="142" t="str">
        <f t="shared" si="113"/>
        <v>#REF!</v>
      </c>
      <c r="K156" s="602" t="str">
        <f t="shared" si="113"/>
        <v>#REF!</v>
      </c>
      <c r="L156" s="603"/>
    </row>
    <row r="157">
      <c r="A157" s="604" t="str">
        <f t="shared" si="106"/>
        <v>#REF!</v>
      </c>
      <c r="B157" s="605" t="str">
        <f t="shared" ref="B157:E157" si="114">'Week 2 (MASTER SHEET)'!B157</f>
        <v>#REF!</v>
      </c>
      <c r="C157" s="606" t="str">
        <f t="shared" si="114"/>
        <v>#REF!</v>
      </c>
      <c r="D157" s="295" t="str">
        <f t="shared" si="114"/>
        <v>#REF!</v>
      </c>
      <c r="E157" s="607" t="str">
        <f t="shared" si="114"/>
        <v>#REF!</v>
      </c>
      <c r="F157" s="297"/>
      <c r="H157" s="216" t="str">
        <f t="shared" si="107"/>
        <v>#REF!</v>
      </c>
      <c r="I157" s="205" t="str">
        <f t="shared" ref="I157:K157" si="115">'Week 2 (MASTER SHEET)'!I157</f>
        <v>#REF!</v>
      </c>
      <c r="J157" s="142" t="str">
        <f t="shared" si="115"/>
        <v>#REF!</v>
      </c>
      <c r="K157" s="602" t="str">
        <f t="shared" si="115"/>
        <v>#REF!</v>
      </c>
      <c r="L157" s="603"/>
    </row>
    <row r="158">
      <c r="A158" s="608"/>
      <c r="B158" s="16"/>
      <c r="C158" s="16"/>
      <c r="D158" s="16"/>
      <c r="E158" s="16"/>
      <c r="F158" s="16"/>
      <c r="H158" s="216" t="str">
        <f t="shared" si="107"/>
        <v>#REF!</v>
      </c>
      <c r="I158" s="158" t="str">
        <f t="shared" ref="I158:K158" si="116">'Week 2 (MASTER SHEET)'!I158</f>
        <v>#REF!</v>
      </c>
      <c r="J158" s="142" t="str">
        <f t="shared" si="116"/>
        <v>#REF!</v>
      </c>
      <c r="K158" s="139" t="str">
        <f t="shared" si="116"/>
        <v>#REF!</v>
      </c>
      <c r="L158" s="76"/>
    </row>
    <row r="159">
      <c r="H159" s="216" t="str">
        <f t="shared" si="107"/>
        <v>#REF!</v>
      </c>
      <c r="I159" s="158" t="str">
        <f t="shared" ref="I159:K159" si="117">'Week 2 (MASTER SHEET)'!I159</f>
        <v>#REF!</v>
      </c>
      <c r="J159" s="142" t="str">
        <f t="shared" si="117"/>
        <v>#REF!</v>
      </c>
      <c r="K159" s="139" t="str">
        <f t="shared" si="117"/>
        <v>#REF!</v>
      </c>
      <c r="L159" s="76"/>
    </row>
    <row r="160">
      <c r="H160" s="216" t="str">
        <f t="shared" si="107"/>
        <v>#REF!</v>
      </c>
      <c r="I160" s="158" t="str">
        <f t="shared" ref="I160:K160" si="118">'Week 2 (MASTER SHEET)'!I160</f>
        <v>#REF!</v>
      </c>
      <c r="J160" s="142" t="str">
        <f t="shared" si="118"/>
        <v>#REF!</v>
      </c>
      <c r="K160" s="139" t="str">
        <f t="shared" si="118"/>
        <v>#REF!</v>
      </c>
      <c r="L160" s="76"/>
    </row>
    <row r="161">
      <c r="H161" s="216" t="str">
        <f t="shared" si="107"/>
        <v>#REF!</v>
      </c>
      <c r="I161" s="376" t="str">
        <f t="shared" ref="I161:K161" si="119">'Week 2 (MASTER SHEET)'!I161</f>
        <v>#REF!</v>
      </c>
      <c r="J161" s="609" t="str">
        <f t="shared" si="119"/>
        <v>#REF!</v>
      </c>
      <c r="K161" s="384" t="str">
        <f t="shared" si="119"/>
        <v>#REF!</v>
      </c>
      <c r="L161" s="297"/>
    </row>
    <row r="162">
      <c r="A162" s="610"/>
      <c r="G162" s="611"/>
      <c r="H162" s="612" t="str">
        <f t="shared" si="107"/>
        <v>#REF!</v>
      </c>
      <c r="I162" s="32"/>
      <c r="J162" s="27"/>
      <c r="K162" s="27"/>
      <c r="L162" s="28"/>
    </row>
    <row r="163">
      <c r="A163" s="613" t="str">
        <f>'Week 2 (MASTER SHEET)'!A163</f>
        <v>#REF!</v>
      </c>
      <c r="B163" s="27"/>
      <c r="C163" s="27"/>
      <c r="D163" s="27"/>
      <c r="E163" s="27"/>
      <c r="F163" s="28"/>
      <c r="H163" s="611"/>
    </row>
    <row r="164">
      <c r="A164" s="614" t="s">
        <v>102</v>
      </c>
      <c r="B164" s="27"/>
      <c r="C164" s="27"/>
      <c r="D164" s="27"/>
      <c r="E164" s="27"/>
      <c r="F164" s="28"/>
      <c r="G164" s="573"/>
    </row>
    <row r="165">
      <c r="A165" s="615"/>
    </row>
    <row r="166">
      <c r="A166" s="616" t="str">
        <f>HYPERLINK("https://www.amazon.com/30-Minute-Body-Investment-Champion/dp/0692791892/ref=sr_1_1?ie=UTF8&amp;qid=1490447969&amp;sr=8-1&amp;keywords=30+minute+body","WANT TO LEARN MORE?")</f>
        <v>WANT TO LEARN MORE?</v>
      </c>
      <c r="B166" s="7"/>
      <c r="C166" s="7"/>
      <c r="D166" s="7"/>
      <c r="E166" s="7"/>
      <c r="F166" s="8"/>
    </row>
    <row r="167">
      <c r="A167" s="9"/>
      <c r="B167" s="4"/>
      <c r="C167" s="4"/>
      <c r="D167" s="4"/>
      <c r="E167" s="4"/>
      <c r="F167" s="5"/>
    </row>
    <row r="168">
      <c r="A168" s="617"/>
      <c r="B168" s="618"/>
      <c r="C168" s="619" t="s">
        <v>35</v>
      </c>
      <c r="D168" s="16"/>
      <c r="E168" s="16"/>
      <c r="F168" s="17"/>
    </row>
    <row r="169">
      <c r="A169" s="620"/>
      <c r="B169" s="621"/>
      <c r="C169" s="505"/>
      <c r="F169" s="19"/>
    </row>
    <row r="170">
      <c r="A170" s="620"/>
      <c r="B170" s="621"/>
      <c r="C170" s="505"/>
      <c r="F170" s="19"/>
    </row>
    <row r="171">
      <c r="A171" s="620"/>
      <c r="B171" s="621"/>
      <c r="C171" s="505"/>
      <c r="F171" s="19"/>
    </row>
    <row r="172">
      <c r="A172" s="620"/>
      <c r="B172" s="621"/>
      <c r="C172" s="505"/>
      <c r="F172" s="19"/>
    </row>
    <row r="173">
      <c r="A173" s="620"/>
      <c r="B173" s="621"/>
      <c r="C173" s="505"/>
      <c r="F173" s="19"/>
    </row>
    <row r="174">
      <c r="A174" s="622"/>
      <c r="B174" s="621"/>
      <c r="C174" s="505"/>
      <c r="F174" s="19"/>
    </row>
    <row r="175">
      <c r="A175" s="620"/>
      <c r="B175" s="621"/>
      <c r="C175" s="505"/>
      <c r="F175" s="19"/>
    </row>
    <row r="176">
      <c r="A176" s="620"/>
      <c r="B176" s="621"/>
      <c r="C176" s="505"/>
      <c r="F176" s="19"/>
    </row>
    <row r="177">
      <c r="A177" s="623"/>
      <c r="B177" s="621"/>
      <c r="C177" s="505"/>
      <c r="F177" s="19"/>
    </row>
    <row r="178">
      <c r="A178" s="620"/>
      <c r="B178" s="621"/>
      <c r="C178" s="505"/>
      <c r="F178" s="19"/>
    </row>
    <row r="179">
      <c r="A179" s="620"/>
      <c r="C179" s="505"/>
      <c r="F179" s="19"/>
    </row>
    <row r="180">
      <c r="A180" s="620"/>
      <c r="B180" s="621"/>
      <c r="C180" s="505"/>
      <c r="F180" s="19"/>
    </row>
    <row r="181">
      <c r="A181" s="620"/>
      <c r="B181" s="621"/>
      <c r="C181" s="505"/>
      <c r="F181" s="19"/>
    </row>
    <row r="182">
      <c r="A182" s="624"/>
      <c r="B182" s="625"/>
      <c r="C182" s="303"/>
      <c r="D182" s="2"/>
      <c r="E182" s="2"/>
      <c r="F182" s="37"/>
    </row>
  </sheetData>
  <mergeCells count="112">
    <mergeCell ref="A12:F12"/>
    <mergeCell ref="A13:F13"/>
    <mergeCell ref="A14:F15"/>
    <mergeCell ref="A16:F16"/>
    <mergeCell ref="G21:G34"/>
    <mergeCell ref="A27:F27"/>
    <mergeCell ref="A29:F29"/>
    <mergeCell ref="B34:F34"/>
    <mergeCell ref="H16:M16"/>
    <mergeCell ref="A17:F18"/>
    <mergeCell ref="H17:M18"/>
    <mergeCell ref="A19:F19"/>
    <mergeCell ref="H19:M19"/>
    <mergeCell ref="A1:M8"/>
    <mergeCell ref="A9:F9"/>
    <mergeCell ref="G9:G19"/>
    <mergeCell ref="H9:M9"/>
    <mergeCell ref="A10:F11"/>
    <mergeCell ref="H10:M10"/>
    <mergeCell ref="H12:M15"/>
    <mergeCell ref="A20:F20"/>
    <mergeCell ref="H20:M20"/>
    <mergeCell ref="B21:F21"/>
    <mergeCell ref="I21:M21"/>
    <mergeCell ref="H27:M27"/>
    <mergeCell ref="H29:M29"/>
    <mergeCell ref="I34:M34"/>
    <mergeCell ref="A35:M36"/>
    <mergeCell ref="A37:F37"/>
    <mergeCell ref="G37:G38"/>
    <mergeCell ref="H37:M37"/>
    <mergeCell ref="B38:F38"/>
    <mergeCell ref="I38:M38"/>
    <mergeCell ref="G39:G41"/>
    <mergeCell ref="B57:F57"/>
    <mergeCell ref="A58:F58"/>
    <mergeCell ref="A59:F59"/>
    <mergeCell ref="B60:F60"/>
    <mergeCell ref="A65:F66"/>
    <mergeCell ref="A67:F67"/>
    <mergeCell ref="A74:F75"/>
    <mergeCell ref="A76:F76"/>
    <mergeCell ref="A77:F77"/>
    <mergeCell ref="A78:F78"/>
    <mergeCell ref="A79:F79"/>
    <mergeCell ref="A80:F80"/>
    <mergeCell ref="A84:F85"/>
    <mergeCell ref="A86:F86"/>
    <mergeCell ref="A128:F128"/>
    <mergeCell ref="B129:F129"/>
    <mergeCell ref="A116:F116"/>
    <mergeCell ref="A117:F117"/>
    <mergeCell ref="A118:F118"/>
    <mergeCell ref="A119:F119"/>
    <mergeCell ref="A120:F120"/>
    <mergeCell ref="B121:F121"/>
    <mergeCell ref="A126:F127"/>
    <mergeCell ref="H108:M108"/>
    <mergeCell ref="I109:M109"/>
    <mergeCell ref="I114:M114"/>
    <mergeCell ref="G115:M127"/>
    <mergeCell ref="H128:M133"/>
    <mergeCell ref="G129:G133"/>
    <mergeCell ref="G134:M149"/>
    <mergeCell ref="I162:L162"/>
    <mergeCell ref="H163:M163"/>
    <mergeCell ref="G150:M151"/>
    <mergeCell ref="G152:G153"/>
    <mergeCell ref="H152:L152"/>
    <mergeCell ref="M152:M162"/>
    <mergeCell ref="H153:L153"/>
    <mergeCell ref="G154:G161"/>
    <mergeCell ref="G162:G163"/>
    <mergeCell ref="G164:M182"/>
    <mergeCell ref="A166:F167"/>
    <mergeCell ref="C168:F182"/>
    <mergeCell ref="A152:F152"/>
    <mergeCell ref="B153:F153"/>
    <mergeCell ref="A158:F161"/>
    <mergeCell ref="A162:F162"/>
    <mergeCell ref="A163:F163"/>
    <mergeCell ref="A164:F164"/>
    <mergeCell ref="A165:F165"/>
    <mergeCell ref="B68:F68"/>
    <mergeCell ref="A73:F73"/>
    <mergeCell ref="B87:F87"/>
    <mergeCell ref="B96:F96"/>
    <mergeCell ref="A97:F98"/>
    <mergeCell ref="A99:F99"/>
    <mergeCell ref="B100:F100"/>
    <mergeCell ref="B105:F105"/>
    <mergeCell ref="A42:M43"/>
    <mergeCell ref="A44:F44"/>
    <mergeCell ref="G44:M56"/>
    <mergeCell ref="B45:F45"/>
    <mergeCell ref="A51:F51"/>
    <mergeCell ref="A54:F54"/>
    <mergeCell ref="G57:M107"/>
    <mergeCell ref="A106:F107"/>
    <mergeCell ref="A108:F108"/>
    <mergeCell ref="G108:G109"/>
    <mergeCell ref="B109:F109"/>
    <mergeCell ref="G110:G114"/>
    <mergeCell ref="B114:F114"/>
    <mergeCell ref="A115:F115"/>
    <mergeCell ref="A134:F135"/>
    <mergeCell ref="A136:F136"/>
    <mergeCell ref="B137:F137"/>
    <mergeCell ref="A142:F143"/>
    <mergeCell ref="A144:F144"/>
    <mergeCell ref="B145:F145"/>
    <mergeCell ref="A150:F151"/>
  </mergeCells>
  <dataValidations>
    <dataValidation type="decimal" allowBlank="1" showDropDown="1" showErrorMessage="1" sqref="F23:F26 M23:M26 F28 M28 F30:F33 M30:M33 F40:F41 M40:M41 F47:F50 F52:F53 F55:F56 F62:F64 F70:F72 F82:F83 F89:F95 F102:F104 F111:F113 M111:M113 F123:F125 F131:F133 F139:F141 F147 F149 F155 F157">
      <formula1>0.0</formula1>
      <formula2>500.0</formula2>
    </dataValidation>
    <dataValidation type="decimal" operator="greaterThan" allowBlank="1" showDropDown="1" showErrorMessage="1" sqref="M11">
      <formula1>0.0</formula1>
    </dataValidation>
  </dataValidation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 customWidth="1" min="4" max="4" width="15.25"/>
    <col customWidth="1" min="5" max="5" width="13.13"/>
  </cols>
  <sheetData>
    <row r="1">
      <c r="A1" s="626"/>
      <c r="B1" s="627"/>
      <c r="C1" s="628"/>
      <c r="D1" s="628"/>
      <c r="E1" s="629"/>
      <c r="F1" s="628"/>
      <c r="G1" s="108"/>
    </row>
    <row r="2">
      <c r="A2" s="626"/>
      <c r="B2" s="628"/>
      <c r="C2" s="628"/>
      <c r="D2" s="628"/>
      <c r="E2" s="629"/>
      <c r="F2" s="628"/>
    </row>
    <row r="3">
      <c r="A3" s="626"/>
      <c r="B3" s="628"/>
      <c r="C3" s="628"/>
      <c r="D3" s="628"/>
      <c r="E3" s="629"/>
      <c r="F3" s="628"/>
    </row>
    <row r="4">
      <c r="A4" s="626"/>
      <c r="B4" s="628"/>
      <c r="C4" s="628"/>
      <c r="D4" s="628"/>
      <c r="E4" s="629"/>
      <c r="F4" s="628"/>
    </row>
    <row r="5">
      <c r="A5" s="626"/>
      <c r="B5" s="628"/>
      <c r="C5" s="628"/>
      <c r="D5" s="628"/>
      <c r="E5" s="629"/>
      <c r="F5" s="628"/>
    </row>
    <row r="6">
      <c r="A6" s="626"/>
      <c r="B6" s="628"/>
      <c r="C6" s="628"/>
      <c r="D6" s="628"/>
      <c r="E6" s="629"/>
      <c r="F6" s="628"/>
    </row>
    <row r="7">
      <c r="A7" s="626"/>
      <c r="B7" s="628"/>
      <c r="C7" s="628"/>
      <c r="D7" s="628"/>
      <c r="E7" s="629"/>
      <c r="F7" s="628"/>
    </row>
    <row r="8">
      <c r="A8" s="626"/>
      <c r="B8" s="628"/>
      <c r="C8" s="628"/>
      <c r="D8" s="628"/>
      <c r="E8" s="629"/>
      <c r="F8" s="628"/>
    </row>
    <row r="9">
      <c r="A9" s="392" t="s">
        <v>112</v>
      </c>
      <c r="B9" s="27"/>
      <c r="C9" s="27"/>
      <c r="D9" s="27"/>
      <c r="E9" s="27"/>
      <c r="F9" s="28"/>
    </row>
    <row r="10">
      <c r="A10" s="393" t="str">
        <f>'Week 1 MASTER SHEET'!A10</f>
        <v>#REF!</v>
      </c>
      <c r="B10" s="16"/>
      <c r="C10" s="16"/>
      <c r="D10" s="16"/>
      <c r="E10" s="16"/>
      <c r="F10" s="17"/>
    </row>
    <row r="11">
      <c r="A11" s="303"/>
      <c r="B11" s="2"/>
      <c r="C11" s="2"/>
      <c r="D11" s="2"/>
      <c r="E11" s="2"/>
      <c r="F11" s="37"/>
    </row>
    <row r="12">
      <c r="A12" s="630" t="s">
        <v>37</v>
      </c>
      <c r="B12" s="27"/>
      <c r="C12" s="27"/>
      <c r="D12" s="27"/>
      <c r="E12" s="27"/>
      <c r="F12" s="28"/>
    </row>
    <row r="13">
      <c r="A13" s="631" t="s">
        <v>113</v>
      </c>
      <c r="B13" s="27"/>
      <c r="C13" s="27"/>
      <c r="D13" s="27"/>
      <c r="E13" s="27"/>
      <c r="F13" s="28"/>
    </row>
    <row r="14">
      <c r="A14" s="179"/>
    </row>
    <row r="16">
      <c r="A16" s="41" t="s">
        <v>45</v>
      </c>
      <c r="B16" s="27"/>
      <c r="C16" s="27"/>
      <c r="D16" s="27"/>
      <c r="E16" s="27"/>
      <c r="F16" s="28"/>
      <c r="G16" s="108"/>
      <c r="H16" s="41" t="s">
        <v>85</v>
      </c>
      <c r="I16" s="27"/>
      <c r="J16" s="27"/>
      <c r="K16" s="27"/>
      <c r="L16" s="27"/>
      <c r="M16" s="28"/>
      <c r="N16" s="108"/>
    </row>
    <row r="17">
      <c r="A17" s="632"/>
    </row>
    <row r="19">
      <c r="A19" s="42" t="s">
        <v>16</v>
      </c>
      <c r="B19" s="27"/>
      <c r="C19" s="27"/>
      <c r="D19" s="27"/>
      <c r="E19" s="27"/>
      <c r="F19" s="28"/>
      <c r="G19" s="108"/>
      <c r="H19" s="42" t="s">
        <v>16</v>
      </c>
      <c r="I19" s="27"/>
      <c r="J19" s="27"/>
      <c r="K19" s="27"/>
      <c r="L19" s="27"/>
      <c r="M19" s="28"/>
      <c r="N19" s="108"/>
    </row>
    <row r="20">
      <c r="A20" s="43" t="str">
        <f>HYPERLINK("https://youtu.be/ujVN-A0Z-ic","1. DUMBBELL INCLINE PRESS")</f>
        <v>1. DUMBBELL INCLINE PRESS</v>
      </c>
      <c r="B20" s="44"/>
      <c r="C20" s="44"/>
      <c r="D20" s="44"/>
      <c r="E20" s="44"/>
      <c r="F20" s="45"/>
      <c r="H20" s="43" t="str">
        <f>HYPERLINK("https://youtu.be/75e_H9Vq_Lw","1. MACHINE PRESS")</f>
        <v>1. MACHINE PRESS</v>
      </c>
      <c r="I20" s="44"/>
      <c r="J20" s="44"/>
      <c r="K20" s="44"/>
      <c r="L20" s="44"/>
      <c r="M20" s="45"/>
    </row>
    <row r="21">
      <c r="A21" s="195" t="s">
        <v>86</v>
      </c>
      <c r="B21" s="196">
        <v>20.0</v>
      </c>
      <c r="C21" s="7"/>
      <c r="D21" s="7"/>
      <c r="E21" s="7"/>
      <c r="F21" s="197"/>
      <c r="H21" s="195" t="s">
        <v>86</v>
      </c>
      <c r="I21" s="196" t="str">
        <f>'WEEK 1 '!I32</f>
        <v>#REF!</v>
      </c>
      <c r="J21" s="7"/>
      <c r="K21" s="7"/>
      <c r="L21" s="7"/>
      <c r="M21" s="197"/>
    </row>
    <row r="22">
      <c r="A22" s="87" t="s">
        <v>18</v>
      </c>
      <c r="B22" s="88" t="s">
        <v>19</v>
      </c>
      <c r="C22" s="88" t="s">
        <v>20</v>
      </c>
      <c r="D22" s="88" t="s">
        <v>21</v>
      </c>
      <c r="E22" s="89" t="s">
        <v>22</v>
      </c>
      <c r="F22" s="202" t="s">
        <v>23</v>
      </c>
      <c r="H22" s="87" t="s">
        <v>18</v>
      </c>
      <c r="I22" s="88" t="s">
        <v>19</v>
      </c>
      <c r="J22" s="88" t="s">
        <v>20</v>
      </c>
      <c r="K22" s="88" t="s">
        <v>21</v>
      </c>
      <c r="L22" s="89" t="s">
        <v>22</v>
      </c>
      <c r="M22" s="202" t="s">
        <v>23</v>
      </c>
    </row>
    <row r="23">
      <c r="A23" s="211">
        <v>1.0</v>
      </c>
      <c r="B23" s="208" t="str">
        <f>mround('WEEK 2'!B21*0.35,5)</f>
        <v>#REF!</v>
      </c>
      <c r="C23" s="54">
        <v>6.0</v>
      </c>
      <c r="D23" s="74" t="s">
        <v>25</v>
      </c>
      <c r="E23" s="75" t="str">
        <f t="shared" ref="E23:E26" si="1">IF('WEEK 1 '!P22='WEEK 2'!B23,'WEEK 1 '!T22,"")</f>
        <v>#REF!</v>
      </c>
      <c r="F23" s="76"/>
      <c r="H23" s="211">
        <v>1.0</v>
      </c>
      <c r="I23" s="208" t="str">
        <f>mround('WEEK 2'!I21*0.35,5)</f>
        <v>#REF!</v>
      </c>
      <c r="J23" s="54">
        <v>6.0</v>
      </c>
      <c r="K23" s="74" t="s">
        <v>25</v>
      </c>
      <c r="L23" s="75" t="str">
        <f t="shared" ref="L23:L26" si="2">IF('WEEK 1 '!I22='WEEK 2'!I23,'WEEK 1 '!M22,"")</f>
        <v>#REF!</v>
      </c>
      <c r="M23" s="76"/>
    </row>
    <row r="24">
      <c r="A24" s="207">
        <v>2.0</v>
      </c>
      <c r="B24" s="208" t="str">
        <f>mround('WEEK 2'!B21*0.65,5)</f>
        <v>#REF!</v>
      </c>
      <c r="C24" s="208">
        <v>1.0</v>
      </c>
      <c r="D24" s="74" t="s">
        <v>25</v>
      </c>
      <c r="E24" s="75" t="str">
        <f t="shared" si="1"/>
        <v>#REF!</v>
      </c>
      <c r="F24" s="76"/>
      <c r="H24" s="207">
        <v>2.0</v>
      </c>
      <c r="I24" s="208" t="str">
        <f>mround('WEEK 2'!I21*0.65,5)</f>
        <v>#REF!</v>
      </c>
      <c r="J24" s="208">
        <v>1.0</v>
      </c>
      <c r="K24" s="74" t="s">
        <v>25</v>
      </c>
      <c r="L24" s="75" t="str">
        <f t="shared" si="2"/>
        <v>#REF!</v>
      </c>
      <c r="M24" s="76"/>
    </row>
    <row r="25">
      <c r="A25" s="207">
        <v>3.0</v>
      </c>
      <c r="B25" s="208" t="str">
        <f>mround('WEEK 2'!B21*0.85,5)</f>
        <v>#REF!</v>
      </c>
      <c r="C25" s="54">
        <v>1.0</v>
      </c>
      <c r="D25" s="74" t="s">
        <v>25</v>
      </c>
      <c r="E25" s="75" t="str">
        <f t="shared" si="1"/>
        <v>#REF!</v>
      </c>
      <c r="F25" s="76"/>
      <c r="H25" s="207">
        <v>3.0</v>
      </c>
      <c r="I25" s="208" t="str">
        <f>mround('WEEK 2'!I21*0.85,5)</f>
        <v>#REF!</v>
      </c>
      <c r="J25" s="208">
        <v>1.0</v>
      </c>
      <c r="K25" s="74" t="s">
        <v>25</v>
      </c>
      <c r="L25" s="75" t="str">
        <f t="shared" si="2"/>
        <v>#REF!</v>
      </c>
      <c r="M25" s="76"/>
    </row>
    <row r="26">
      <c r="A26" s="207">
        <v>4.0</v>
      </c>
      <c r="B26" s="208" t="str">
        <f>mround('WEEK 2'!B21*1,5)</f>
        <v>#REF!</v>
      </c>
      <c r="C26" s="212" t="s">
        <v>33</v>
      </c>
      <c r="D26" s="74" t="s">
        <v>25</v>
      </c>
      <c r="E26" s="75" t="str">
        <f t="shared" si="1"/>
        <v>#REF!</v>
      </c>
      <c r="F26" s="76"/>
      <c r="H26" s="207">
        <v>4.0</v>
      </c>
      <c r="I26" s="208" t="str">
        <f>mround('WEEK 2'!I21*1,5)</f>
        <v>#REF!</v>
      </c>
      <c r="J26" s="212" t="s">
        <v>33</v>
      </c>
      <c r="K26" s="74" t="s">
        <v>25</v>
      </c>
      <c r="L26" s="75" t="str">
        <f t="shared" si="2"/>
        <v>#REF!</v>
      </c>
      <c r="M26" s="76"/>
    </row>
    <row r="27">
      <c r="A27" s="215" t="str">
        <f>IF(OR(ISBLANK('WEEK 2'!F26),ISBLANK('WEEK 2'!F25),ISBLANK('WEEK 2'!F24)),"PROCEED TO DOWNSETS",if('WEEK 2'!F26&gt;=6,"NEW 4 REP MAX ATTEMPT","PROCEED TO DOWN SETS"))</f>
        <v>#REF!</v>
      </c>
      <c r="F27" s="19"/>
      <c r="G27" s="214" t="s">
        <v>90</v>
      </c>
      <c r="H27" s="215" t="str">
        <f>IF(OR(ISBLANK('WEEK 2'!M26),ISBLANK('WEEK 2'!M25),ISBLANK('WEEK 2'!M24)),"PROCEED TO DOWNSETS",if('WEEK 2'!M26&gt;=6,"NEW 4 REP MAX ATTEMPT","PROCEED TO DOWN SETS"))</f>
        <v>#REF!</v>
      </c>
      <c r="M27" s="19"/>
    </row>
    <row r="28">
      <c r="A28" s="218" t="str">
        <f>IF(OR(ISBLANK('WEEK 2'!F26),ISBLANK('WEEK 2'!F25),ISBLANK('WEEK 2'!F24)),"",IF('WEEK 2'!F26&gt;=6,5,""))</f>
        <v>#REF!</v>
      </c>
      <c r="B28" s="219" t="str">
        <f>IF(OR(ISBLANK('WEEK 2'!F26),ISBLANK('WEEK 2'!F25),ISBLANK('WEEK 2'!F24)),"",IF('WEEK 2'!F26&gt;=6,'WEEK 2'!B21+5,""))</f>
        <v>#REF!</v>
      </c>
      <c r="C28" s="220" t="str">
        <f>IF(OR(ISBLANK('WEEK 2'!F26),ISBLANK('WEEK 2'!F25),ISBLANK('WEEK 2'!F24)),"",IF('WEEK 2'!F26&gt;=6,"REP OUT",""))</f>
        <v>#REF!</v>
      </c>
      <c r="D28" s="221" t="str">
        <f>IF(OR(ISBLANK('WEEK 2'!F26),ISBLANK('WEEK 2'!F25),ISBLANK('WEEK 2'!F24)),"",IF('WEEK 2'!F26&gt;5,"1 MIN",""))</f>
        <v>#REF!</v>
      </c>
      <c r="E28" s="75" t="str">
        <f>IF('WEEK 1 '!P27='WEEK 2'!B28,'WEEK 1 '!T27,"")</f>
        <v>#REF!</v>
      </c>
      <c r="F28" s="58"/>
      <c r="H28" s="218" t="str">
        <f>IF(OR(ISBLANK('WEEK 2'!M26),ISBLANK('WEEK 2'!M25),ISBLANK('WEEK 2'!M24)),"",IF('WEEK 2'!M26&gt;=6,5,""))</f>
        <v>#REF!</v>
      </c>
      <c r="I28" s="219" t="str">
        <f>IF(OR(ISBLANK('WEEK 2'!M26),ISBLANK('WEEK 2'!M25),ISBLANK('WEEK 2'!M24)),"",IF('WEEK 2'!M26&gt;=6,'WEEK 2'!I21+5,""))</f>
        <v>#REF!</v>
      </c>
      <c r="J28" s="220" t="str">
        <f>IF(OR(ISBLANK('WEEK 2'!M26),ISBLANK('WEEK 2'!M25),ISBLANK('WEEK 2'!M24)),"",IF('WEEK 2'!M26&gt;=6,"REP OUT",""))</f>
        <v>#REF!</v>
      </c>
      <c r="K28" s="221" t="str">
        <f>IF(OR(ISBLANK('WEEK 2'!M26),ISBLANK('WEEK 2'!M25),ISBLANK('WEEK 2'!M24)),"",IF('WEEK 2'!M26&gt;5,"1 MIN",""))</f>
        <v>#REF!</v>
      </c>
      <c r="L28" s="75" t="str">
        <f>IF('WEEK 1 '!I27='WEEK 2'!I28,'WEEK 1 '!M27,"")</f>
        <v>#REF!</v>
      </c>
      <c r="M28" s="58"/>
    </row>
    <row r="29">
      <c r="A29" s="227" t="str">
        <f>IF(OR(ISBLANK('WEEK 2'!F26),ISBLANK('WEEK 2'!F25),ISBLANK('WEEK 2'!F24)),"FILL OUT REP LOG FIRST","DOWN SETS")</f>
        <v>DOWN SETS</v>
      </c>
      <c r="B29" s="7"/>
      <c r="C29" s="7"/>
      <c r="D29" s="7"/>
      <c r="E29" s="7"/>
      <c r="F29" s="197"/>
      <c r="G29" s="108"/>
      <c r="H29" s="227" t="str">
        <f>IF(OR(ISBLANK('WEEK 2'!M26),ISBLANK('WEEK 2'!M25),ISBLANK('WEEK 2'!M24)),"FILL OUT REP LOG FIRST","DOWN SETS")</f>
        <v>DOWN SETS</v>
      </c>
      <c r="I29" s="7"/>
      <c r="J29" s="7"/>
      <c r="K29" s="7"/>
      <c r="L29" s="7"/>
      <c r="M29" s="197"/>
    </row>
    <row r="30">
      <c r="A30" s="521" t="str">
        <f>IF('WEEK 2'!F28&gt;=4,"",IF(OR(ISBLANK('WEEK 2'!F26),ISBLANK('WEEK 2'!F25),ISBLANK('WEEK 2'!F24)),"",IF('WEEK 2'!F26&gt;5,6,5)))</f>
        <v>#REF!</v>
      </c>
      <c r="B30" s="228" t="str">
        <f>IF('WEEK 2'!F28&gt;=4,"",IF(OR(ISBLANK('WEEK 2'!F26),ISBLANK('WEEK 2'!F25),ISBLANK('WEEK 2'!F24)),"",IF('WEEK 2'!F26&lt;6,mround('WEEK 2'!B21*0.8,5),IF('WEEK 2'!F26&lt;10,mround('WEEK 2'!B21*0.93,5),mround('WEEK 2'!B21*0.7,5)))))</f>
        <v>#REF!</v>
      </c>
      <c r="C30" s="229" t="str">
        <f>IF('WEEK 2'!F28&gt;=4,"",IF(OR(ISBLANK('WEEK 2'!F26),ISBLANK('WEEK 2'!F25),ISBLANK('WEEK 2'!F24)),"","REP OUT"))</f>
        <v>#REF!</v>
      </c>
      <c r="D30" s="56" t="str">
        <f>IF('WEEK 2'!F28&gt;=4,"",IF(OR(ISBLANK('WEEK 2'!F26),ISBLANK('WEEK 2'!F25),ISBLANK('WEEK 2'!F24)),"","1 MIN"))</f>
        <v>#REF!</v>
      </c>
      <c r="E30" s="75" t="str">
        <f t="shared" ref="E30:E33" si="3">IF('WEEK 1 '!P29='WEEK 2'!B30,'WEEK 1 '!T29,"")</f>
        <v>#REF!</v>
      </c>
      <c r="F30" s="230"/>
      <c r="H30" s="82" t="str">
        <f>IF('WEEK 2'!M28&gt;=4,"",IF(OR(ISBLANK('WEEK 2'!M26),ISBLANK('WEEK 2'!M25),ISBLANK('WEEK 2'!M24)),"",IF('WEEK 2'!M26&gt;5,6,5)))</f>
        <v>#REF!</v>
      </c>
      <c r="I30" s="228" t="str">
        <f>IF('WEEK 2'!M28&gt;=4,"",IF(OR(ISBLANK('WEEK 2'!M26),ISBLANK('WEEK 2'!M25),ISBLANK('WEEK 2'!M24)),"",IF('WEEK 2'!M26&lt;6,mround('WEEK 2'!I21*0.8,5),IF('WEEK 2'!M26&lt;10,mround('WEEK 2'!I21*0.93,5),mround('WEEK 2'!I21*0.7,5)))))</f>
        <v>#REF!</v>
      </c>
      <c r="J30" s="229" t="str">
        <f>IF('WEEK 2'!M28&gt;=4,"",IF(OR(ISBLANK('WEEK 2'!M26),ISBLANK('WEEK 2'!M25),ISBLANK('WEEK 2'!M24)),"","REP OUT"))</f>
        <v>#REF!</v>
      </c>
      <c r="K30" s="56" t="str">
        <f>IF('WEEK 2'!M28&gt;=4,"",IF(OR(ISBLANK('WEEK 2'!M26),ISBLANK('WEEK 2'!M25),ISBLANK('WEEK 2'!M24)),"","1 MIN"))</f>
        <v>#REF!</v>
      </c>
      <c r="L30" s="75" t="str">
        <f t="shared" ref="L30:L33" si="4">IF('WEEK 1 '!I29='WEEK 2'!I30,'WEEK 1 '!M29,"")</f>
        <v>#REF!</v>
      </c>
      <c r="M30" s="230"/>
    </row>
    <row r="31">
      <c r="A31" s="522" t="str">
        <f>IF('WEEK 2'!F28&gt;=4,"",IF(OR(ISBLANK('WEEK 2'!F26),ISBLANK('WEEK 2'!F25),ISBLANK('WEEK 2'!F24)),"",IF('WEEK 2'!F26&gt;5,7,6)))</f>
        <v>#REF!</v>
      </c>
      <c r="B31" s="221" t="str">
        <f>IF('WEEK 2'!F28&gt;=4,"",IF(OR(ISBLANK('WEEK 2'!F26),ISBLANK('WEEK 2'!F25),ISBLANK('WEEK 2'!F24)),"",IF('WEEK 2'!F26&lt;6,mround('WEEK 2'!B21*0.65,5),IF('WEEK 2'!F26&lt;10,mround('WEEK 2'!B21*0.7,5),mround('WEEK 2'!B21*0.65,5)))))</f>
        <v>#REF!</v>
      </c>
      <c r="C31" s="220" t="str">
        <f>IF('WEEK 2'!F28&gt;=4,"",IF(OR(ISBLANK('WEEK 2'!F26),ISBLANK('WEEK 2'!F25),ISBLANK('WEEK 2'!F24)),"","REP OUT"))</f>
        <v>#REF!</v>
      </c>
      <c r="D31" s="56" t="str">
        <f>IF('WEEK 2'!F28&gt;=4,"",IF(OR(ISBLANK('WEEK 2'!F26),ISBLANK('WEEK 2'!F25),ISBLANK('WEEK 2'!F24)),"","1 MIN"))</f>
        <v>#REF!</v>
      </c>
      <c r="E31" s="75" t="str">
        <f t="shared" si="3"/>
        <v>#REF!</v>
      </c>
      <c r="F31" s="237"/>
      <c r="H31" s="236" t="str">
        <f>IF('WEEK 2'!M28&gt;=4,"",IF(OR(ISBLANK('WEEK 2'!M26),ISBLANK('WEEK 2'!M25),ISBLANK('WEEK 2'!M24)),"",IF('WEEK 2'!M26&gt;5,7,6)))</f>
        <v>#REF!</v>
      </c>
      <c r="I31" s="221" t="str">
        <f>IF('WEEK 2'!M28&gt;=4,"",IF(OR(ISBLANK('WEEK 2'!M26),ISBLANK('WEEK 2'!M25),ISBLANK('WEEK 2'!M24)),"",IF('WEEK 2'!M26&lt;6,mround('WEEK 2'!I21*0.65,5),IF('WEEK 2'!M26&lt;10,mround('WEEK 2'!I21*0.7,5),mround('WEEK 2'!I21*0.65,5)))))</f>
        <v>#REF!</v>
      </c>
      <c r="J31" s="220" t="str">
        <f>IF('WEEK 2'!M28&gt;=4,"",IF(OR(ISBLANK('WEEK 2'!M26),ISBLANK('WEEK 2'!M25),ISBLANK('WEEK 2'!M24)),"","REP OUT"))</f>
        <v>#REF!</v>
      </c>
      <c r="K31" s="56" t="str">
        <f>IF('WEEK 2'!M28&gt;=4,"",IF(OR(ISBLANK('WEEK 2'!M26),ISBLANK('WEEK 2'!M25),ISBLANK('WEEK 2'!M24)),"","1 MIN"))</f>
        <v>#REF!</v>
      </c>
      <c r="L31" s="75" t="str">
        <f t="shared" si="4"/>
        <v>#REF!</v>
      </c>
      <c r="M31" s="237"/>
    </row>
    <row r="32">
      <c r="A32" s="522" t="str">
        <f>IF('WEEK 2'!F28&lt;4,"",IF(OR(ISBLANK('WEEK 2'!F26),ISBLANK('WEEK 2'!F25),ISBLANK('WEEK 2'!F24)),"",IF('WEEK 2'!F28&gt;3,6,5)))</f>
        <v>#REF!</v>
      </c>
      <c r="B32" s="221" t="str">
        <f>IF('WEEK 2'!F28&lt;4,"",IF(OR(ISBLANK('WEEK 2'!F26),ISBLANK('WEEK 2'!F25),ISBLANK('WEEK 2'!F24)),"",IF('WEEK 2'!F28&lt;6,mround('WEEK 2'!B34*0.8,5),IF('WEEK 2'!F28&lt;10,mround('WEEK 2'!B34*0.93,5),mround(B34*0.7,5)))))</f>
        <v>#REF!</v>
      </c>
      <c r="C32" s="220" t="str">
        <f>IF('WEEK 2'!F28&lt;4,"",IF(OR(ISBLANK('WEEK 2'!F26),ISBLANK('WEEK 2'!F25),ISBLANK('WEEK 2'!F24)),"","REP OUT"))</f>
        <v>#REF!</v>
      </c>
      <c r="D32" s="56" t="str">
        <f>IF('WEEK 2'!F28&lt;4,"",IF(OR(ISBLANK('WEEK 2'!F26),ISBLANK('WEEK 2'!F25),ISBLANK('WEEK 2'!F24)),"","1 MIN"))</f>
        <v>#REF!</v>
      </c>
      <c r="E32" s="75" t="str">
        <f t="shared" si="3"/>
        <v>#REF!</v>
      </c>
      <c r="F32" s="237"/>
      <c r="G32" s="108"/>
      <c r="H32" s="236" t="str">
        <f>IF('WEEK 2'!M28&lt;4,"",IF(OR(ISBLANK('WEEK 2'!M26),ISBLANK('WEEK 2'!M25),ISBLANK('WEEK 2'!M24)),"",IF('WEEK 2'!M28&gt;3,6,5)))</f>
        <v>#REF!</v>
      </c>
      <c r="I32" s="221" t="str">
        <f>IF('WEEK 2'!M28&lt;4,"",IF(OR(ISBLANK('WEEK 2'!M26),ISBLANK('WEEK 2'!M25),ISBLANK('WEEK 2'!M24)),"",IF('WEEK 2'!M28&lt;6,mround('WEEK 2'!I34*0.8,5),IF('WEEK 2'!M28&lt;10,mround('WEEK 2'!I34*0.93,5),mround('WEEK 2'!I34*0.93,5)))))</f>
        <v>#REF!</v>
      </c>
      <c r="J32" s="220" t="str">
        <f>IF('WEEK 2'!M28&lt;4,"",IF(OR(ISBLANK('WEEK 2'!M26),ISBLANK('WEEK 2'!M25),ISBLANK('WEEK 2'!M24)),"","REP OUT"))</f>
        <v>#REF!</v>
      </c>
      <c r="K32" s="56" t="str">
        <f>IF('WEEK 2'!M28&lt;4,"",IF(OR(ISBLANK('WEEK 2'!M26),ISBLANK('WEEK 2'!M25),ISBLANK('WEEK 2'!M24)),"","1 MIN"))</f>
        <v>#REF!</v>
      </c>
      <c r="L32" s="75" t="str">
        <f t="shared" si="4"/>
        <v>#REF!</v>
      </c>
      <c r="M32" s="237"/>
      <c r="N32" s="108"/>
    </row>
    <row r="33">
      <c r="A33" s="522" t="str">
        <f>IF('WEEK 2'!F28&lt;4,"",IF(OR(ISBLANK('WEEK 2'!F26),ISBLANK('WEEK 2'!F25),ISBLANK('WEEK 2'!F24)),"",IF('WEEK 2'!F28&gt;3,7,"")))</f>
        <v>#REF!</v>
      </c>
      <c r="B33" s="221" t="str">
        <f>IF('WEEK 2'!F28&lt;4,"",IF(OR(ISBLANK('WEEK 2'!F26),ISBLANK('WEEK 2'!F25),ISBLANK('WEEK 2'!F24)),"",IF('WEEK 2'!F28&lt;6,mround('WEEK 2'!B34*0.65,5),IF('WEEK 2'!F28&lt;10,mround('WEEK 2'!B34*0.7,5),mround(B34*0.65,5)))))</f>
        <v>#REF!</v>
      </c>
      <c r="C33" s="220" t="str">
        <f>IF('WEEK 2'!F28&lt;4,"",IF(OR(ISBLANK('WEEK 2'!F26),ISBLANK('WEEK 2'!F25),ISBLANK('WEEK 2'!F24)),"","REP OUT"))</f>
        <v>#REF!</v>
      </c>
      <c r="D33" s="56" t="str">
        <f>IF('WEEK 2'!F28&lt;4,"",IF(OR(ISBLANK('WEEK 2'!F26),ISBLANK('WEEK 2'!F25),ISBLANK('WEEK 2'!F24)),"","1 MIN"))</f>
        <v>#REF!</v>
      </c>
      <c r="E33" s="75" t="str">
        <f t="shared" si="3"/>
        <v>#REF!</v>
      </c>
      <c r="F33" s="237"/>
      <c r="G33" s="108"/>
      <c r="H33" s="236" t="str">
        <f>IF('WEEK 2'!M28&lt;4,"",IF(OR(ISBLANK('WEEK 2'!M26),ISBLANK('WEEK 2'!M25),ISBLANK('WEEK 2'!M24)),"",IF('WEEK 2'!M28&gt;3,7,"")))</f>
        <v>#REF!</v>
      </c>
      <c r="I33" s="221" t="str">
        <f>IF('WEEK 2'!M28&lt;4,"",IF(OR(ISBLANK('WEEK 2'!M26),ISBLANK('WEEK 2'!M25),ISBLANK('WEEK 2'!M24)),"",IF('WEEK 2'!M28&lt;6,mround('WEEK 2'!I34*0.65,5),IF('WEEK 2'!M28&lt;10,mround('WEEK 2'!I34*0.7,5),mround('WEEK 2'!I34*0.7,5)))))</f>
        <v>#REF!</v>
      </c>
      <c r="J33" s="220" t="str">
        <f>IF('WEEK 2'!M28&lt;4,"",IF(OR(ISBLANK('WEEK 2'!M26),ISBLANK('WEEK 2'!M25),ISBLANK('WEEK 2'!M24)),"","REP OUT"))</f>
        <v>#REF!</v>
      </c>
      <c r="K33" s="56" t="str">
        <f>IF('WEEK 2'!M28&lt;4,"",IF(OR(ISBLANK('WEEK 2'!M26),ISBLANK('WEEK 2'!M25),ISBLANK('WEEK 2'!M24)),"","1 MIN"))</f>
        <v>#REF!</v>
      </c>
      <c r="L33" s="75" t="str">
        <f t="shared" si="4"/>
        <v>#REF!</v>
      </c>
      <c r="M33" s="237"/>
      <c r="N33" s="108"/>
    </row>
    <row r="34">
      <c r="A34" s="247" t="s">
        <v>91</v>
      </c>
      <c r="B34" s="240" t="str">
        <f>IF(OR(ISBLANK('WEEK 2'!F24),ISBLANK('WEEK 2'!F25),ISBLANK('WEEK 2'!F26)),"",IF('WEEK 2'!F28&gt;=4,'WEEK 2'!B28,IF('WEEK 2'!F26&lt;=3,'WEEK 2'!B26-5,'WEEK 2'!B26)))</f>
        <v>#REF!</v>
      </c>
      <c r="C34" s="2"/>
      <c r="D34" s="2"/>
      <c r="E34" s="2"/>
      <c r="F34" s="37"/>
      <c r="G34" s="108"/>
      <c r="H34" s="247" t="s">
        <v>91</v>
      </c>
      <c r="I34" s="240" t="str">
        <f>IF(OR(ISBLANK('WEEK 2'!M24),ISBLANK('WEEK 2'!M25),ISBLANK('WEEK 2'!M26)),"",IF('WEEK 2'!M28&gt;=4,'WEEK 2'!I28,IF('WEEK 2'!M26&lt;=3,'WEEK 2'!I26-5,'WEEK 2'!I26)))</f>
        <v>#REF!</v>
      </c>
      <c r="J34" s="2"/>
      <c r="K34" s="2"/>
      <c r="L34" s="2"/>
      <c r="M34" s="37"/>
      <c r="N34" s="108"/>
    </row>
    <row r="35">
      <c r="A35" s="633"/>
    </row>
    <row r="37">
      <c r="A37" s="634" t="str">
        <f>HYPERLINK("https://www.youtube.com/watch?v=mGv8D2DGyNQ","2. DUMBBELL CHEST FLY")</f>
        <v>2. DUMBBELL CHEST FLY</v>
      </c>
      <c r="B37" s="44"/>
      <c r="C37" s="44"/>
      <c r="D37" s="44"/>
      <c r="E37" s="44"/>
      <c r="F37" s="45"/>
      <c r="G37" s="635"/>
      <c r="H37" s="636" t="str">
        <f>HYPERLINK("https://www.youtube.com/watch?v=THb0dhfIu1k","2. MACHINE CHEST FLY")</f>
        <v>2. MACHINE CHEST FLY</v>
      </c>
      <c r="I37" s="44"/>
      <c r="J37" s="44"/>
      <c r="K37" s="44"/>
      <c r="L37" s="44"/>
      <c r="M37" s="45"/>
      <c r="N37" s="637"/>
    </row>
    <row r="38">
      <c r="A38" s="193" t="s">
        <v>114</v>
      </c>
      <c r="B38" s="524" t="str">
        <f>B34</f>
        <v>#REF!</v>
      </c>
      <c r="C38" s="4"/>
      <c r="D38" s="4"/>
      <c r="E38" s="4"/>
      <c r="F38" s="48"/>
      <c r="H38" s="193" t="s">
        <v>114</v>
      </c>
      <c r="I38" s="524" t="str">
        <f>B38</f>
        <v>#REF!</v>
      </c>
      <c r="J38" s="4"/>
      <c r="K38" s="4"/>
      <c r="L38" s="4"/>
      <c r="M38" s="48"/>
      <c r="N38" s="108"/>
    </row>
    <row r="39">
      <c r="A39" s="87" t="s">
        <v>18</v>
      </c>
      <c r="B39" s="88" t="s">
        <v>19</v>
      </c>
      <c r="C39" s="88" t="s">
        <v>20</v>
      </c>
      <c r="D39" s="88" t="s">
        <v>21</v>
      </c>
      <c r="E39" s="89" t="s">
        <v>22</v>
      </c>
      <c r="F39" s="202" t="s">
        <v>23</v>
      </c>
      <c r="H39" s="87" t="s">
        <v>18</v>
      </c>
      <c r="I39" s="88" t="s">
        <v>19</v>
      </c>
      <c r="J39" s="88" t="s">
        <v>20</v>
      </c>
      <c r="K39" s="88" t="s">
        <v>21</v>
      </c>
      <c r="L39" s="308" t="s">
        <v>22</v>
      </c>
      <c r="M39" s="202" t="s">
        <v>23</v>
      </c>
    </row>
    <row r="40">
      <c r="A40" s="207">
        <v>1.0</v>
      </c>
      <c r="B40" s="221" t="str">
        <f>mround(B38*0.29,2.5)</f>
        <v>#REF!</v>
      </c>
      <c r="C40" s="208">
        <v>15.0</v>
      </c>
      <c r="D40" s="74" t="s">
        <v>25</v>
      </c>
      <c r="E40" s="75" t="str">
        <f t="shared" ref="E40:E41" si="5">IF('WEEK 1 '!P37='WEEK 2'!B40,'WEEK 1 '!F37,"")</f>
        <v>#REF!</v>
      </c>
      <c r="F40" s="76"/>
      <c r="H40" s="207">
        <v>1.0</v>
      </c>
      <c r="I40" s="221" t="str">
        <f>mround(I38*2*0.75,10)</f>
        <v>#REF!</v>
      </c>
      <c r="J40" s="208">
        <v>15.0</v>
      </c>
      <c r="K40" s="74" t="s">
        <v>25</v>
      </c>
      <c r="L40" s="75" t="str">
        <f t="shared" ref="L40:L41" si="6">IF('WEEK 1 '!W37='WEEK 2'!I40,'WEEK 1 '!M37,"")</f>
        <v>#REF!</v>
      </c>
      <c r="M40" s="76"/>
    </row>
    <row r="41">
      <c r="A41" s="638">
        <v>2.0</v>
      </c>
      <c r="B41" s="639" t="str">
        <f>mround(B38*0.29,2.5)</f>
        <v>#REF!</v>
      </c>
      <c r="C41" s="639">
        <v>15.0</v>
      </c>
      <c r="D41" s="79" t="s">
        <v>25</v>
      </c>
      <c r="E41" s="80" t="str">
        <f t="shared" si="5"/>
        <v>#REF!</v>
      </c>
      <c r="F41" s="76"/>
      <c r="H41" s="638">
        <v>2.0</v>
      </c>
      <c r="I41" s="639" t="str">
        <f>mround(I38*2*0.75,10)</f>
        <v>#REF!</v>
      </c>
      <c r="J41" s="639">
        <v>15.0</v>
      </c>
      <c r="K41" s="79" t="s">
        <v>25</v>
      </c>
      <c r="L41" s="80" t="str">
        <f t="shared" si="6"/>
        <v>#REF!</v>
      </c>
      <c r="M41" s="76"/>
    </row>
    <row r="42">
      <c r="A42" s="179"/>
    </row>
    <row r="44">
      <c r="A44" s="64" t="str">
        <f>HYPERLINK("https://youtu.be/9YH1YvZbiY0","3. MACHINE LOW ROW ")</f>
        <v>3. MACHINE LOW ROW </v>
      </c>
      <c r="B44" s="44"/>
      <c r="C44" s="44"/>
      <c r="D44" s="44"/>
      <c r="E44" s="44"/>
      <c r="F44" s="45"/>
      <c r="G44" s="108"/>
      <c r="H44" s="108"/>
      <c r="I44" s="108"/>
      <c r="J44" s="108"/>
      <c r="K44" s="108"/>
      <c r="L44" s="108"/>
      <c r="M44" s="108"/>
      <c r="N44" s="108"/>
    </row>
    <row r="45">
      <c r="A45" s="193" t="s">
        <v>86</v>
      </c>
      <c r="B45" s="194" t="str">
        <f>'DETERMINING MAX WEEK'!E63</f>
        <v>#REF!</v>
      </c>
      <c r="C45" s="11"/>
      <c r="D45" s="11"/>
      <c r="E45" s="11"/>
      <c r="F45" s="86"/>
      <c r="G45" s="108"/>
      <c r="H45" s="108"/>
      <c r="I45" s="108"/>
      <c r="J45" s="108"/>
      <c r="K45" s="108"/>
      <c r="L45" s="108"/>
      <c r="M45" s="108"/>
      <c r="N45" s="108"/>
    </row>
    <row r="46">
      <c r="A46" s="198" t="s">
        <v>18</v>
      </c>
      <c r="B46" s="199" t="s">
        <v>19</v>
      </c>
      <c r="C46" s="199" t="s">
        <v>20</v>
      </c>
      <c r="D46" s="199" t="s">
        <v>21</v>
      </c>
      <c r="E46" s="200" t="s">
        <v>22</v>
      </c>
      <c r="F46" s="52" t="s">
        <v>23</v>
      </c>
      <c r="G46" s="108"/>
      <c r="H46" s="108"/>
      <c r="I46" s="108"/>
      <c r="J46" s="108"/>
      <c r="K46" s="108"/>
      <c r="L46" s="108"/>
      <c r="M46" s="108"/>
      <c r="N46" s="108"/>
    </row>
    <row r="47">
      <c r="A47" s="203">
        <v>1.0</v>
      </c>
      <c r="B47" s="204" t="str">
        <f>mround('WEEK 2'!B45*0.35,5)</f>
        <v>#REF!</v>
      </c>
      <c r="C47" s="204">
        <v>6.0</v>
      </c>
      <c r="D47" s="205" t="s">
        <v>87</v>
      </c>
      <c r="E47" s="57"/>
      <c r="F47" s="58"/>
      <c r="G47" s="108"/>
      <c r="H47" s="108"/>
      <c r="I47" s="108"/>
      <c r="J47" s="108"/>
      <c r="K47" s="108"/>
      <c r="L47" s="108"/>
      <c r="M47" s="108"/>
      <c r="N47" s="108"/>
    </row>
    <row r="48">
      <c r="A48" s="203">
        <v>2.0</v>
      </c>
      <c r="B48" s="204" t="str">
        <f>mround('WEEK 2'!B45*0.65,5)</f>
        <v>#REF!</v>
      </c>
      <c r="C48" s="205">
        <v>3.0</v>
      </c>
      <c r="D48" s="205" t="s">
        <v>88</v>
      </c>
      <c r="E48" s="57"/>
      <c r="F48" s="58"/>
      <c r="G48" s="108"/>
      <c r="H48" s="108"/>
      <c r="I48" s="108"/>
      <c r="J48" s="108"/>
      <c r="K48" s="108"/>
      <c r="L48" s="108"/>
      <c r="M48" s="108"/>
      <c r="N48" s="108"/>
    </row>
    <row r="49">
      <c r="A49" s="209">
        <v>3.0</v>
      </c>
      <c r="B49" s="204" t="str">
        <f>mround('WEEK 2'!B45*0.9,5)</f>
        <v>#REF!</v>
      </c>
      <c r="C49" s="54">
        <v>2.0</v>
      </c>
      <c r="D49" s="205" t="s">
        <v>88</v>
      </c>
      <c r="E49" s="57"/>
      <c r="F49" s="58"/>
      <c r="G49" s="108"/>
      <c r="H49" s="108"/>
      <c r="I49" s="108"/>
      <c r="J49" s="108"/>
      <c r="K49" s="108"/>
      <c r="L49" s="108"/>
      <c r="M49" s="108"/>
      <c r="N49" s="108"/>
    </row>
    <row r="50">
      <c r="A50" s="210">
        <v>4.0</v>
      </c>
      <c r="B50" s="204" t="str">
        <f>'WEEK 2'!B45</f>
        <v>#REF!</v>
      </c>
      <c r="C50" s="224">
        <v>3.0</v>
      </c>
      <c r="D50" s="205" t="s">
        <v>89</v>
      </c>
      <c r="E50" s="57"/>
      <c r="F50" s="58"/>
      <c r="G50" s="108"/>
      <c r="H50" s="108"/>
      <c r="I50" s="108"/>
      <c r="J50" s="108"/>
      <c r="K50" s="108"/>
      <c r="L50" s="108"/>
      <c r="M50" s="108"/>
      <c r="N50" s="108"/>
    </row>
    <row r="51">
      <c r="A51" s="213" t="str">
        <f>IF('WEEK 2'!F50&lt;3,"PROCEED TO DOWN SETS","NEW 4 REP MAX ATTEMPT")</f>
        <v>#REF!</v>
      </c>
      <c r="B51" s="11"/>
      <c r="C51" s="11"/>
      <c r="D51" s="11"/>
      <c r="E51" s="11"/>
      <c r="F51" s="86"/>
      <c r="G51" s="108"/>
      <c r="H51" s="108"/>
      <c r="I51" s="108"/>
      <c r="J51" s="108"/>
      <c r="K51" s="108"/>
      <c r="L51" s="108"/>
      <c r="M51" s="108"/>
      <c r="N51" s="108"/>
    </row>
    <row r="52">
      <c r="A52" s="216" t="str">
        <f>if('WEEK 2'!F50&lt;=2,"",5)</f>
        <v>#REF!</v>
      </c>
      <c r="B52" s="142" t="str">
        <f>IF('WEEK 2'!F50&lt;=2,"",'WEEK 2'!B50+5)</f>
        <v>#REF!</v>
      </c>
      <c r="C52" s="205" t="str">
        <f>if('WEEK 2'!F50&lt;=2,"",4)</f>
        <v>#REF!</v>
      </c>
      <c r="D52" s="205" t="str">
        <f>if('WEEK 2'!F50&lt;=2,"","1-5 MIN")</f>
        <v>#REF!</v>
      </c>
      <c r="E52" s="217"/>
      <c r="F52" s="58"/>
      <c r="G52" s="108"/>
      <c r="H52" s="108"/>
      <c r="I52" s="108"/>
      <c r="J52" s="108"/>
      <c r="K52" s="108"/>
      <c r="L52" s="108"/>
      <c r="M52" s="108"/>
      <c r="N52" s="108"/>
    </row>
    <row r="53">
      <c r="A53" s="226" t="str">
        <f>IF('WEEK 2'!F52&lt;4,"","6")</f>
        <v>#REF!</v>
      </c>
      <c r="B53" s="204" t="str">
        <f>IF('WEEK 2'!F52&lt;4,"",'WEEK 2'!B52+5)</f>
        <v>#REF!</v>
      </c>
      <c r="C53" s="224" t="str">
        <f>IF('WEEK 2'!F52&lt;4,"","4")</f>
        <v>#REF!</v>
      </c>
      <c r="D53" s="224" t="str">
        <f>IF('WEEK 2'!F52&lt;4,"","1-5 MIN")</f>
        <v>#REF!</v>
      </c>
      <c r="E53" s="225"/>
      <c r="F53" s="58"/>
      <c r="G53" s="108"/>
      <c r="H53" s="108"/>
      <c r="I53" s="108"/>
      <c r="J53" s="108"/>
      <c r="K53" s="108"/>
      <c r="L53" s="108"/>
      <c r="M53" s="108"/>
      <c r="N53" s="108"/>
    </row>
    <row r="54">
      <c r="A54" s="213" t="s">
        <v>100</v>
      </c>
      <c r="B54" s="11"/>
      <c r="C54" s="11"/>
      <c r="D54" s="11"/>
      <c r="E54" s="11"/>
      <c r="F54" s="86"/>
      <c r="G54" s="108"/>
      <c r="H54" s="108"/>
      <c r="I54" s="108"/>
      <c r="J54" s="108"/>
      <c r="K54" s="108"/>
      <c r="L54" s="108"/>
      <c r="M54" s="108"/>
      <c r="N54" s="108"/>
    </row>
    <row r="55">
      <c r="A55" s="231" t="str">
        <f>IF(OR(ISBLANK('WEEK 2'!F50),ISBLANK('WEEK 2'!F49),ISBLANK('WEEK 2'!F48)),"",IF((AND('WEEK 2'!A52="",'WEEK 2'!A53="")),5,IF((AND('WEEK 2'!A52&gt;1,'WEEK 2'!A53="")),6,7)))</f>
        <v>#REF!</v>
      </c>
      <c r="B55" s="232" t="str">
        <f>MROUND('WEEK 2'!B57*0.8,5)</f>
        <v>#REF!</v>
      </c>
      <c r="C55" s="233" t="s">
        <v>33</v>
      </c>
      <c r="D55" s="234" t="s">
        <v>94</v>
      </c>
      <c r="E55" s="235"/>
      <c r="F55" s="58"/>
      <c r="G55" s="108"/>
      <c r="H55" s="108"/>
      <c r="I55" s="108"/>
      <c r="J55" s="108"/>
      <c r="K55" s="108"/>
      <c r="L55" s="108"/>
      <c r="M55" s="108"/>
      <c r="N55" s="108"/>
    </row>
    <row r="56">
      <c r="A56" s="210" t="str">
        <f>IF(OR(ISBLANK('WEEK 2'!F50),ISBLANK('WEEK 2'!F49),ISBLANK('WEEK 2'!F48)),"",IF((AND('WEEK 2'!A52="",'WEEK 2'!A53="")),6,IF((AND('WEEK 2'!A52&gt;1,'WEEK 2'!A53="")),7,8)))</f>
        <v>#REF!</v>
      </c>
      <c r="B56" s="204" t="str">
        <f>mround('WEEK 2'!B57*0.7,5)</f>
        <v>#REF!</v>
      </c>
      <c r="C56" s="212" t="s">
        <v>33</v>
      </c>
      <c r="D56" s="56" t="s">
        <v>94</v>
      </c>
      <c r="E56" s="225"/>
      <c r="F56" s="238"/>
      <c r="G56" s="108"/>
      <c r="H56" s="108"/>
      <c r="I56" s="108"/>
      <c r="J56" s="108"/>
      <c r="K56" s="108"/>
      <c r="L56" s="108"/>
      <c r="M56" s="108"/>
      <c r="N56" s="108"/>
    </row>
    <row r="57">
      <c r="A57" s="239" t="s">
        <v>91</v>
      </c>
      <c r="B57" s="240" t="str">
        <f>IF(OR(ISBLANK('WEEK 2'!F50),ISBLANK('WEEK 2'!F49),ISBLANK('WEEK 2'!F48)),"",IF('WEEK 2'!F53&gt;=4,'WEEK 2'!B53,IF('WEEK 2'!F52&gt;=1,'WEEK 2'!B52,IF('WEEK 2'!F50&lt;3,'WEEK 2'!B50-5,'WEEK 2'!B50))))</f>
        <v>#REF!</v>
      </c>
      <c r="C57" s="2"/>
      <c r="D57" s="2"/>
      <c r="E57" s="2"/>
      <c r="F57" s="37"/>
      <c r="G57" s="108"/>
      <c r="H57" s="108"/>
      <c r="I57" s="108"/>
      <c r="J57" s="108"/>
      <c r="K57" s="108"/>
      <c r="L57" s="108"/>
      <c r="M57" s="108"/>
      <c r="N57" s="108"/>
    </row>
    <row r="58">
      <c r="A58" s="259"/>
      <c r="B58" s="259"/>
      <c r="C58" s="259"/>
      <c r="D58" s="259"/>
      <c r="E58" s="259"/>
      <c r="F58" s="259"/>
      <c r="G58" s="108"/>
      <c r="H58" s="108"/>
      <c r="I58" s="108"/>
      <c r="J58" s="108"/>
      <c r="K58" s="108"/>
      <c r="L58" s="108"/>
      <c r="M58" s="108"/>
      <c r="N58" s="108"/>
    </row>
    <row r="59">
      <c r="A59" s="64" t="str">
        <f>HYPERLINK("https://youtu.be/hMUUvL3FlkE","4. HIGH ROW")</f>
        <v>4. HIGH ROW</v>
      </c>
      <c r="B59" s="44"/>
      <c r="C59" s="44"/>
      <c r="D59" s="44"/>
      <c r="E59" s="44"/>
      <c r="F59" s="45"/>
      <c r="G59" s="108"/>
      <c r="H59" s="108"/>
      <c r="I59" s="108"/>
      <c r="J59" s="108"/>
      <c r="K59" s="108"/>
      <c r="L59" s="108"/>
      <c r="M59" s="108"/>
      <c r="N59" s="108"/>
    </row>
    <row r="60">
      <c r="A60" s="249" t="s">
        <v>86</v>
      </c>
      <c r="B60" s="47" t="str">
        <f>'WEEK 1 '!B66</f>
        <v>#REF!</v>
      </c>
      <c r="C60" s="4"/>
      <c r="D60" s="4"/>
      <c r="E60" s="4"/>
      <c r="F60" s="48"/>
      <c r="G60" s="108"/>
      <c r="H60" s="108"/>
      <c r="I60" s="108"/>
      <c r="J60" s="108"/>
      <c r="K60" s="108"/>
      <c r="L60" s="108"/>
      <c r="M60" s="108"/>
      <c r="N60" s="108"/>
    </row>
    <row r="61">
      <c r="A61" s="49" t="s">
        <v>18</v>
      </c>
      <c r="B61" s="50" t="s">
        <v>19</v>
      </c>
      <c r="C61" s="50" t="s">
        <v>20</v>
      </c>
      <c r="D61" s="50" t="s">
        <v>21</v>
      </c>
      <c r="E61" s="51" t="s">
        <v>22</v>
      </c>
      <c r="F61" s="52" t="s">
        <v>23</v>
      </c>
      <c r="G61" s="108"/>
      <c r="H61" s="108"/>
      <c r="I61" s="108"/>
      <c r="J61" s="108"/>
      <c r="K61" s="108"/>
      <c r="L61" s="108"/>
      <c r="M61" s="108"/>
      <c r="N61" s="108"/>
    </row>
    <row r="62">
      <c r="A62" s="53">
        <v>1.0</v>
      </c>
      <c r="B62" s="54" t="str">
        <f> mround('WEEK 2'!B60*0.85,5)</f>
        <v>#REF!</v>
      </c>
      <c r="C62" s="95" t="s">
        <v>33</v>
      </c>
      <c r="D62" s="56" t="s">
        <v>25</v>
      </c>
      <c r="E62" s="75" t="str">
        <f t="shared" ref="E62:E64" si="7">IF('WEEK 1 '!B68='WEEK 2'!B62,'WEEK 1 '!F68,"")</f>
        <v>#REF!</v>
      </c>
      <c r="F62" s="58"/>
      <c r="G62" s="108"/>
      <c r="H62" s="108"/>
      <c r="I62" s="108"/>
      <c r="J62" s="108"/>
      <c r="K62" s="108"/>
      <c r="L62" s="108"/>
      <c r="M62" s="108"/>
      <c r="N62" s="108"/>
    </row>
    <row r="63">
      <c r="A63" s="53">
        <v>2.0</v>
      </c>
      <c r="B63" s="54" t="str">
        <f>IF('WEEK 2'!F62&lt;6,MROUND('WEEK 2'!B60*0.75,5),IF('WEEK 2'!F62&lt;=11,MROUND('WEEK 2'!B60*0.85,5),'WEEK 2'!B62))</f>
        <v>#REF!</v>
      </c>
      <c r="C63" s="95" t="s">
        <v>33</v>
      </c>
      <c r="D63" s="56" t="s">
        <v>25</v>
      </c>
      <c r="E63" s="75" t="str">
        <f t="shared" si="7"/>
        <v>#REF!</v>
      </c>
      <c r="F63" s="58"/>
      <c r="G63" s="108"/>
      <c r="H63" s="108"/>
      <c r="I63" s="108"/>
      <c r="J63" s="108"/>
      <c r="K63" s="108"/>
      <c r="L63" s="108"/>
      <c r="M63" s="108"/>
      <c r="N63" s="108"/>
    </row>
    <row r="64">
      <c r="A64" s="59">
        <v>3.0</v>
      </c>
      <c r="B64" s="60" t="str">
        <f>IF('WEEK 2'!F63&lt;6,MROUND('WEEK 2'!B60*0.75,5),IF('WEEK 2'!F63&lt;=11,MROUND('WEEK 2'!B60*0.85,5),'WEEK 2'!B63))</f>
        <v>#REF!</v>
      </c>
      <c r="C64" s="96" t="s">
        <v>33</v>
      </c>
      <c r="D64" s="62" t="s">
        <v>25</v>
      </c>
      <c r="E64" s="80" t="str">
        <f t="shared" si="7"/>
        <v>#REF!</v>
      </c>
      <c r="F64" s="58"/>
      <c r="G64" s="108"/>
      <c r="H64" s="108"/>
      <c r="I64" s="108"/>
      <c r="J64" s="108"/>
      <c r="K64" s="108"/>
      <c r="L64" s="108"/>
      <c r="M64" s="108"/>
      <c r="N64" s="108"/>
    </row>
    <row r="65">
      <c r="A65" s="632"/>
      <c r="G65" s="108"/>
      <c r="H65" s="108"/>
      <c r="I65" s="108"/>
      <c r="J65" s="108"/>
      <c r="K65" s="108"/>
      <c r="L65" s="108"/>
      <c r="M65" s="108"/>
      <c r="N65" s="108"/>
    </row>
    <row r="66">
      <c r="G66" s="108"/>
      <c r="H66" s="108"/>
      <c r="I66" s="108"/>
      <c r="J66" s="108"/>
      <c r="K66" s="108"/>
      <c r="L66" s="108"/>
      <c r="M66" s="108"/>
      <c r="N66" s="108"/>
    </row>
    <row r="67">
      <c r="A67" s="634" t="str">
        <f>HYPERLINK("https://www.youtube.com/watch?v=PnaDzYh2axA","5. LAT PULL DOWN")</f>
        <v>5. LAT PULL DOWN</v>
      </c>
      <c r="B67" s="44"/>
      <c r="C67" s="44"/>
      <c r="D67" s="44"/>
      <c r="E67" s="44"/>
      <c r="F67" s="45"/>
      <c r="G67" s="108"/>
      <c r="H67" s="108"/>
      <c r="I67" s="108"/>
      <c r="J67" s="108"/>
      <c r="K67" s="108"/>
      <c r="L67" s="108"/>
      <c r="M67" s="108"/>
      <c r="N67" s="108"/>
    </row>
    <row r="68">
      <c r="A68" s="249" t="s">
        <v>86</v>
      </c>
      <c r="B68" s="47" t="str">
        <f>if('WEEK 1 '!B54="",'WEEK 1 '!B42,'WEEK 1 '!B54)</f>
        <v>#REF!</v>
      </c>
      <c r="C68" s="4"/>
      <c r="D68" s="4"/>
      <c r="E68" s="4"/>
      <c r="F68" s="48"/>
      <c r="G68" s="108"/>
      <c r="H68" s="108"/>
      <c r="I68" s="108"/>
      <c r="J68" s="108"/>
      <c r="K68" s="108"/>
      <c r="L68" s="108"/>
      <c r="M68" s="108"/>
      <c r="N68" s="108"/>
    </row>
    <row r="69">
      <c r="A69" s="49" t="s">
        <v>18</v>
      </c>
      <c r="B69" s="50" t="s">
        <v>19</v>
      </c>
      <c r="C69" s="50" t="s">
        <v>20</v>
      </c>
      <c r="D69" s="50" t="s">
        <v>21</v>
      </c>
      <c r="E69" s="51" t="s">
        <v>22</v>
      </c>
      <c r="F69" s="52" t="s">
        <v>23</v>
      </c>
      <c r="G69" s="108"/>
      <c r="H69" s="108"/>
      <c r="I69" s="108"/>
      <c r="J69" s="108"/>
      <c r="K69" s="108"/>
      <c r="L69" s="108"/>
      <c r="M69" s="108"/>
      <c r="N69" s="108"/>
    </row>
    <row r="70">
      <c r="A70" s="53">
        <v>1.0</v>
      </c>
      <c r="B70" s="54" t="str">
        <f>'WEEK 2'!B68*0.8</f>
        <v>#REF!</v>
      </c>
      <c r="C70" s="95" t="s">
        <v>33</v>
      </c>
      <c r="D70" s="56" t="s">
        <v>25</v>
      </c>
      <c r="E70" s="57"/>
      <c r="F70" s="58"/>
      <c r="G70" s="108"/>
      <c r="H70" s="108"/>
      <c r="I70" s="108"/>
      <c r="J70" s="108"/>
      <c r="K70" s="108"/>
      <c r="L70" s="108"/>
      <c r="M70" s="108"/>
      <c r="N70" s="108"/>
    </row>
    <row r="71">
      <c r="A71" s="53">
        <v>2.0</v>
      </c>
      <c r="B71" s="640" t="str">
        <f t="shared" ref="B71:B72" si="8">IF('WEEK 2'!F70&lt;6,MROUND('WEEK 2'!B70*0.85,5),IF('WEEK 2'!F70&lt;=11,MROUND('WEEK 2'!B70*0.95,5),'WEEK 2'!B70))</f>
        <v>#REF!</v>
      </c>
      <c r="C71" s="95" t="s">
        <v>33</v>
      </c>
      <c r="D71" s="56" t="s">
        <v>25</v>
      </c>
      <c r="E71" s="57"/>
      <c r="F71" s="58"/>
      <c r="G71" s="108"/>
      <c r="H71" s="108"/>
      <c r="I71" s="108"/>
      <c r="J71" s="108"/>
      <c r="K71" s="108"/>
      <c r="L71" s="108"/>
      <c r="M71" s="108"/>
      <c r="N71" s="108"/>
    </row>
    <row r="72">
      <c r="A72" s="292">
        <v>3.0</v>
      </c>
      <c r="B72" s="640" t="str">
        <f t="shared" si="8"/>
        <v>#REF!</v>
      </c>
      <c r="C72" s="294" t="s">
        <v>33</v>
      </c>
      <c r="D72" s="606" t="s">
        <v>25</v>
      </c>
      <c r="E72" s="641"/>
      <c r="F72" s="642"/>
      <c r="G72" s="108"/>
      <c r="H72" s="108"/>
      <c r="I72" s="108"/>
      <c r="J72" s="108"/>
      <c r="K72" s="108"/>
      <c r="L72" s="108"/>
      <c r="M72" s="108"/>
      <c r="N72" s="108"/>
    </row>
    <row r="73">
      <c r="A73" s="556"/>
      <c r="B73" s="643"/>
      <c r="C73" s="644"/>
      <c r="D73" s="643"/>
      <c r="E73" s="645"/>
      <c r="F73" s="643"/>
      <c r="G73" s="108"/>
      <c r="H73" s="108"/>
      <c r="I73" s="108"/>
      <c r="J73" s="108"/>
      <c r="K73" s="108"/>
      <c r="L73" s="108"/>
      <c r="M73" s="108"/>
      <c r="N73" s="108"/>
    </row>
    <row r="74">
      <c r="A74" s="646" t="str">
        <f>HYPERLINK("https://docs.google.com/a/fitnessresults.com/forms/d/e/1FAIpQLSd7MoczESe8Yjv6BKpmwAZGn9Aiymrs9-UdgfYIUpbr9t5NXg/viewform?usp=pp_url&amp;entry.93370101","CLICK TO COMPLETE WORKOUT")</f>
        <v>CLICK TO COMPLETE WORKOUT</v>
      </c>
      <c r="B74" s="16"/>
      <c r="C74" s="16"/>
      <c r="D74" s="16"/>
      <c r="E74" s="16"/>
      <c r="F74" s="17"/>
      <c r="G74" s="108"/>
      <c r="H74" s="108"/>
      <c r="I74" s="108"/>
      <c r="J74" s="108"/>
      <c r="K74" s="108"/>
      <c r="L74" s="108"/>
      <c r="M74" s="108"/>
      <c r="N74" s="108"/>
    </row>
    <row r="75">
      <c r="A75" s="303"/>
      <c r="B75" s="2"/>
      <c r="C75" s="2"/>
      <c r="D75" s="2"/>
      <c r="E75" s="2"/>
      <c r="F75" s="37"/>
      <c r="G75" s="108"/>
      <c r="H75" s="108"/>
      <c r="I75" s="108"/>
      <c r="J75" s="108"/>
      <c r="K75" s="108"/>
      <c r="L75" s="108"/>
      <c r="M75" s="108"/>
      <c r="N75" s="108"/>
    </row>
    <row r="76">
      <c r="A76" s="558"/>
      <c r="B76" s="558"/>
      <c r="C76" s="558"/>
      <c r="D76" s="558"/>
      <c r="E76" s="558"/>
      <c r="F76" s="558"/>
      <c r="G76" s="108"/>
      <c r="H76" s="108"/>
      <c r="I76" s="108"/>
      <c r="J76" s="108"/>
      <c r="K76" s="108"/>
      <c r="L76" s="108"/>
      <c r="M76" s="108"/>
      <c r="N76" s="108"/>
    </row>
    <row r="77">
      <c r="A77" s="647" t="s">
        <v>95</v>
      </c>
      <c r="B77" s="2"/>
      <c r="C77" s="2"/>
      <c r="D77" s="2"/>
      <c r="E77" s="2"/>
      <c r="F77" s="37"/>
      <c r="G77" s="108"/>
      <c r="H77" s="108"/>
      <c r="I77" s="108"/>
      <c r="J77" s="108"/>
      <c r="K77" s="108"/>
      <c r="L77" s="108"/>
      <c r="M77" s="108"/>
      <c r="N77" s="108"/>
    </row>
    <row r="78">
      <c r="A78" s="632"/>
      <c r="G78" s="108"/>
      <c r="H78" s="108"/>
      <c r="I78" s="108"/>
      <c r="J78" s="108"/>
      <c r="K78" s="108"/>
      <c r="L78" s="108"/>
      <c r="M78" s="108"/>
      <c r="N78" s="108"/>
    </row>
    <row r="79">
      <c r="A79" s="632" t="s">
        <v>96</v>
      </c>
      <c r="G79" s="108"/>
      <c r="H79" s="108"/>
      <c r="I79" s="108"/>
      <c r="J79" s="108"/>
      <c r="K79" s="108"/>
      <c r="L79" s="108"/>
      <c r="M79" s="108"/>
      <c r="N79" s="108"/>
    </row>
    <row r="80">
      <c r="A80" s="290" t="str">
        <f>HYPERLINK("https://www.youtube.com/watch?v=ZjpkMnGZjTQ"," 1. SISSY SQUATS")</f>
        <v> 1. SISSY SQUATS</v>
      </c>
      <c r="B80" s="44"/>
      <c r="C80" s="44"/>
      <c r="D80" s="44"/>
      <c r="E80" s="44"/>
      <c r="F80" s="45"/>
      <c r="G80" s="108"/>
      <c r="H80" s="108"/>
      <c r="I80" s="108"/>
      <c r="J80" s="108"/>
      <c r="K80" s="108"/>
      <c r="L80" s="108"/>
      <c r="M80" s="108"/>
      <c r="N80" s="108"/>
    </row>
    <row r="81">
      <c r="A81" s="431" t="s">
        <v>18</v>
      </c>
      <c r="B81" s="432" t="s">
        <v>19</v>
      </c>
      <c r="C81" s="432" t="s">
        <v>20</v>
      </c>
      <c r="D81" s="432" t="s">
        <v>21</v>
      </c>
      <c r="E81" s="89" t="s">
        <v>22</v>
      </c>
      <c r="F81" s="202" t="s">
        <v>23</v>
      </c>
      <c r="G81" s="108"/>
      <c r="H81" s="108"/>
      <c r="I81" s="108"/>
      <c r="J81" s="108"/>
      <c r="K81" s="108"/>
      <c r="L81" s="108"/>
      <c r="M81" s="108"/>
      <c r="N81" s="108"/>
    </row>
    <row r="82">
      <c r="A82" s="309">
        <v>1.0</v>
      </c>
      <c r="B82" s="56" t="s">
        <v>97</v>
      </c>
      <c r="C82" s="56">
        <v>10.0</v>
      </c>
      <c r="D82" s="56" t="s">
        <v>88</v>
      </c>
      <c r="E82" s="279"/>
      <c r="F82" s="58"/>
      <c r="G82" s="108"/>
      <c r="H82" s="108"/>
      <c r="I82" s="108"/>
      <c r="J82" s="108"/>
      <c r="K82" s="108"/>
      <c r="L82" s="108"/>
      <c r="M82" s="108"/>
      <c r="N82" s="108"/>
    </row>
    <row r="83">
      <c r="A83" s="456">
        <v>2.0</v>
      </c>
      <c r="B83" s="62" t="s">
        <v>97</v>
      </c>
      <c r="C83" s="62">
        <v>10.0</v>
      </c>
      <c r="D83" s="62" t="s">
        <v>88</v>
      </c>
      <c r="E83" s="281"/>
      <c r="F83" s="58"/>
      <c r="G83" s="108"/>
      <c r="H83" s="108"/>
      <c r="I83" s="108"/>
      <c r="J83" s="108"/>
      <c r="K83" s="108"/>
      <c r="L83" s="108"/>
      <c r="M83" s="108"/>
      <c r="N83" s="108"/>
    </row>
    <row r="84">
      <c r="A84" s="632"/>
      <c r="G84" s="108"/>
      <c r="H84" s="108"/>
      <c r="I84" s="108"/>
      <c r="J84" s="108"/>
      <c r="K84" s="108"/>
      <c r="L84" s="108"/>
      <c r="M84" s="108"/>
      <c r="N84" s="108"/>
    </row>
    <row r="85">
      <c r="G85" s="108"/>
      <c r="H85" s="108"/>
      <c r="I85" s="108"/>
      <c r="J85" s="108"/>
      <c r="K85" s="108"/>
      <c r="L85" s="108"/>
      <c r="M85" s="108"/>
      <c r="N85" s="108"/>
    </row>
    <row r="86">
      <c r="A86" s="290" t="str">
        <f>HYPERLINK("https://www.youtube.com/watch?v=dVterVQksD4","2. LEG PRESS")</f>
        <v>2. LEG PRESS</v>
      </c>
      <c r="B86" s="44"/>
      <c r="C86" s="44"/>
      <c r="D86" s="44"/>
      <c r="E86" s="44"/>
      <c r="F86" s="45"/>
      <c r="G86" s="108"/>
      <c r="H86" s="108"/>
      <c r="I86" s="108"/>
      <c r="J86" s="108"/>
      <c r="K86" s="108"/>
      <c r="L86" s="108"/>
      <c r="M86" s="108"/>
      <c r="N86" s="108"/>
    </row>
    <row r="87">
      <c r="A87" s="648" t="s">
        <v>86</v>
      </c>
      <c r="B87" s="649" t="str">
        <f>'Week 1 MASTER SHEET'!B84</f>
        <v>#REF!</v>
      </c>
      <c r="C87" s="27"/>
      <c r="D87" s="27"/>
      <c r="E87" s="27"/>
      <c r="F87" s="28"/>
      <c r="G87" s="108"/>
      <c r="H87" s="108"/>
      <c r="I87" s="108"/>
      <c r="J87" s="108"/>
      <c r="K87" s="108"/>
      <c r="L87" s="108"/>
      <c r="M87" s="108"/>
      <c r="N87" s="108"/>
    </row>
    <row r="88">
      <c r="A88" s="87" t="s">
        <v>18</v>
      </c>
      <c r="B88" s="650" t="s">
        <v>19</v>
      </c>
      <c r="C88" s="650" t="s">
        <v>20</v>
      </c>
      <c r="D88" s="650" t="s">
        <v>21</v>
      </c>
      <c r="E88" s="651" t="s">
        <v>22</v>
      </c>
      <c r="F88" s="202" t="s">
        <v>23</v>
      </c>
      <c r="G88" s="108"/>
      <c r="H88" s="108"/>
      <c r="I88" s="108"/>
      <c r="J88" s="108"/>
      <c r="K88" s="108"/>
      <c r="L88" s="108"/>
      <c r="M88" s="108"/>
      <c r="N88" s="108"/>
    </row>
    <row r="89">
      <c r="A89" s="309">
        <v>1.0</v>
      </c>
      <c r="B89" s="652" t="str">
        <f>mround('WEEK 2'!B87*0.5,5)</f>
        <v>#REF!</v>
      </c>
      <c r="C89" s="653">
        <v>20.0</v>
      </c>
      <c r="D89" s="317" t="s">
        <v>89</v>
      </c>
      <c r="E89" s="75" t="str">
        <f t="shared" ref="E89:E95" si="9">IF('WEEK 1 '!E86='WEEK 2'!B89,'WEEK 1 '!F86,"")</f>
        <v>#REF!</v>
      </c>
      <c r="F89" s="76"/>
      <c r="G89" s="108"/>
      <c r="H89" s="108"/>
      <c r="I89" s="108"/>
      <c r="J89" s="108"/>
      <c r="K89" s="108"/>
      <c r="L89" s="108"/>
      <c r="M89" s="108"/>
      <c r="N89" s="108"/>
    </row>
    <row r="90">
      <c r="A90" s="309">
        <v>2.0</v>
      </c>
      <c r="B90" s="652" t="str">
        <f>mround('WEEK 2'!B87*0.65,5)</f>
        <v>#REF!</v>
      </c>
      <c r="C90" s="653">
        <v>20.0</v>
      </c>
      <c r="D90" s="317" t="s">
        <v>89</v>
      </c>
      <c r="E90" s="75" t="str">
        <f t="shared" si="9"/>
        <v>#REF!</v>
      </c>
      <c r="F90" s="76"/>
      <c r="G90" s="108"/>
      <c r="H90" s="108"/>
      <c r="I90" s="108"/>
      <c r="J90" s="108"/>
      <c r="K90" s="108"/>
      <c r="L90" s="108"/>
      <c r="M90" s="108"/>
      <c r="N90" s="108"/>
    </row>
    <row r="91">
      <c r="A91" s="309">
        <v>3.0</v>
      </c>
      <c r="B91" s="652" t="str">
        <f>mround('WEEK 2'!B87*0.8,5)</f>
        <v>#REF!</v>
      </c>
      <c r="C91" s="653">
        <v>20.0</v>
      </c>
      <c r="D91" s="317" t="s">
        <v>89</v>
      </c>
      <c r="E91" s="75" t="str">
        <f t="shared" si="9"/>
        <v>#REF!</v>
      </c>
      <c r="F91" s="76"/>
      <c r="G91" s="108"/>
      <c r="H91" s="108"/>
      <c r="I91" s="108"/>
      <c r="J91" s="108"/>
      <c r="K91" s="108"/>
      <c r="L91" s="108"/>
      <c r="M91" s="108"/>
      <c r="N91" s="108"/>
    </row>
    <row r="92">
      <c r="A92" s="309">
        <v>4.0</v>
      </c>
      <c r="B92" s="90" t="str">
        <f>mround('WEEK 2'!B87*0.95,5)</f>
        <v>#REF!</v>
      </c>
      <c r="C92" s="653">
        <v>15.0</v>
      </c>
      <c r="D92" s="317" t="s">
        <v>89</v>
      </c>
      <c r="E92" s="75" t="str">
        <f t="shared" si="9"/>
        <v>#REF!</v>
      </c>
      <c r="F92" s="76"/>
      <c r="G92" s="108"/>
      <c r="H92" s="108"/>
      <c r="I92" s="108"/>
      <c r="J92" s="108"/>
      <c r="K92" s="108"/>
      <c r="L92" s="108"/>
      <c r="M92" s="108"/>
      <c r="N92" s="108"/>
    </row>
    <row r="93">
      <c r="A93" s="309">
        <v>5.0</v>
      </c>
      <c r="B93" s="137" t="str">
        <f>mround('WEEK 2'!B87*1.05,5)</f>
        <v>#REF!</v>
      </c>
      <c r="C93" s="310" t="s">
        <v>115</v>
      </c>
      <c r="D93" s="317" t="s">
        <v>89</v>
      </c>
      <c r="E93" s="75" t="str">
        <f t="shared" si="9"/>
        <v>#REF!</v>
      </c>
      <c r="F93" s="76"/>
      <c r="G93" s="108"/>
      <c r="H93" s="108"/>
      <c r="I93" s="108"/>
      <c r="J93" s="108"/>
      <c r="K93" s="108"/>
      <c r="L93" s="108"/>
      <c r="M93" s="108"/>
      <c r="N93" s="108"/>
    </row>
    <row r="94">
      <c r="A94" s="309">
        <v>6.0</v>
      </c>
      <c r="B94" s="652" t="str">
        <f>IF('WEEK 2'!F93&lt;11,mround('WEEK 2'!B93*0.95,5),mround('WEEK 2'!B93*1.05,5))</f>
        <v>#REF!</v>
      </c>
      <c r="C94" s="654" t="str">
        <f>IF(F93&lt;11,"REP OUT","10 - 20")</f>
        <v>REP OUT</v>
      </c>
      <c r="D94" s="317" t="s">
        <v>89</v>
      </c>
      <c r="E94" s="75" t="str">
        <f t="shared" si="9"/>
        <v>#REF!</v>
      </c>
      <c r="F94" s="76"/>
      <c r="G94" s="108"/>
      <c r="H94" s="108"/>
      <c r="I94" s="108"/>
      <c r="J94" s="108"/>
      <c r="K94" s="108"/>
      <c r="L94" s="108"/>
      <c r="M94" s="108"/>
      <c r="N94" s="108"/>
    </row>
    <row r="95">
      <c r="A95" s="309">
        <v>7.0</v>
      </c>
      <c r="B95" s="293" t="str">
        <f>IF('WEEK 2'!F93&lt;11,mround('WEEK 2'!B94*0.95,5),IF('WEEK 2'!F94&lt;10,mround('WEEK 2'!B94*0.95,5),mround('WEEK 2'!B94*1.15,5)))</f>
        <v>#REF!</v>
      </c>
      <c r="C95" s="654" t="str">
        <f>IF(F93&lt;11,"REP OUT","10 - 20")</f>
        <v>REP OUT</v>
      </c>
      <c r="D95" s="317" t="s">
        <v>89</v>
      </c>
      <c r="E95" s="75" t="str">
        <f t="shared" si="9"/>
        <v>#REF!</v>
      </c>
      <c r="F95" s="76"/>
      <c r="G95" s="108"/>
      <c r="H95" s="108"/>
      <c r="I95" s="108"/>
      <c r="J95" s="108"/>
      <c r="K95" s="108"/>
      <c r="L95" s="108"/>
      <c r="M95" s="108"/>
      <c r="N95" s="108"/>
    </row>
    <row r="96">
      <c r="A96" s="239" t="s">
        <v>91</v>
      </c>
      <c r="B96" s="299" t="str">
        <f>IF('WEEK 2'!F93&lt;10,'WEEK 2'!B87,IF('WEEK 2'!F93&gt;=10,'WEEK 2'!B93,'WEEK 2'!B87))</f>
        <v>#REF!</v>
      </c>
      <c r="C96" s="24"/>
      <c r="D96" s="24"/>
      <c r="E96" s="24"/>
      <c r="F96" s="25"/>
      <c r="G96" s="108"/>
      <c r="H96" s="108"/>
      <c r="I96" s="108"/>
      <c r="J96" s="108"/>
      <c r="K96" s="108"/>
      <c r="L96" s="108"/>
      <c r="M96" s="108"/>
      <c r="N96" s="108"/>
    </row>
    <row r="97">
      <c r="A97" s="655"/>
      <c r="G97" s="108"/>
      <c r="H97" s="108"/>
      <c r="I97" s="108"/>
      <c r="J97" s="108"/>
      <c r="K97" s="108"/>
      <c r="L97" s="108"/>
      <c r="M97" s="108"/>
      <c r="N97" s="108"/>
    </row>
    <row r="98">
      <c r="G98" s="108"/>
      <c r="H98" s="108"/>
      <c r="I98" s="108"/>
      <c r="J98" s="108"/>
      <c r="K98" s="108"/>
      <c r="L98" s="108"/>
      <c r="M98" s="108"/>
      <c r="N98" s="108"/>
    </row>
    <row r="99">
      <c r="A99" s="290" t="str">
        <f>HYPERLINK("https://www.youtube.com/watch?v=NZ9KiFtbiMs","3. LEG EXTENSION")</f>
        <v>3. LEG EXTENSION</v>
      </c>
      <c r="B99" s="44"/>
      <c r="C99" s="44"/>
      <c r="D99" s="44"/>
      <c r="E99" s="44"/>
      <c r="F99" s="45"/>
      <c r="G99" s="108"/>
      <c r="H99" s="108"/>
      <c r="I99" s="108"/>
      <c r="J99" s="108"/>
      <c r="K99" s="108"/>
      <c r="L99" s="108"/>
      <c r="M99" s="108"/>
      <c r="N99" s="108"/>
    </row>
    <row r="100">
      <c r="A100" s="193" t="s">
        <v>86</v>
      </c>
      <c r="B100" s="81" t="str">
        <f>IF('Week 1 MASTER SHEET'!B95='Week 1 MASTER SHEET'!B97,'Week 1 MASTER SHEET'!B95+5,IF('WEEK 1 '!F95&lt;=9,MROUND('WEEK 1 '!B93*0.95,5),'WEEK 1 '!B95))</f>
        <v>#REF!</v>
      </c>
      <c r="C100" s="4"/>
      <c r="D100" s="4"/>
      <c r="E100" s="4"/>
      <c r="F100" s="48"/>
      <c r="G100" s="108"/>
      <c r="H100" s="108"/>
      <c r="I100" s="108"/>
      <c r="J100" s="108"/>
      <c r="K100" s="108"/>
      <c r="L100" s="108"/>
      <c r="M100" s="108"/>
      <c r="N100" s="108"/>
    </row>
    <row r="101">
      <c r="A101" s="87" t="s">
        <v>18</v>
      </c>
      <c r="B101" s="88" t="s">
        <v>19</v>
      </c>
      <c r="C101" s="88" t="s">
        <v>20</v>
      </c>
      <c r="D101" s="88" t="s">
        <v>21</v>
      </c>
      <c r="E101" s="89" t="s">
        <v>22</v>
      </c>
      <c r="F101" s="202" t="s">
        <v>23</v>
      </c>
      <c r="G101" s="108"/>
      <c r="H101" s="108"/>
      <c r="I101" s="108"/>
      <c r="J101" s="108"/>
      <c r="K101" s="108"/>
      <c r="L101" s="108"/>
      <c r="M101" s="108"/>
      <c r="N101" s="108"/>
    </row>
    <row r="102">
      <c r="A102" s="319">
        <v>1.0</v>
      </c>
      <c r="B102" s="204" t="str">
        <f>mround('WEEK 2'!B100*1.05,5)</f>
        <v>#REF!</v>
      </c>
      <c r="C102" s="656">
        <v>20.0</v>
      </c>
      <c r="D102" s="317" t="s">
        <v>25</v>
      </c>
      <c r="E102" s="75" t="str">
        <f>IF('WEEK 1 '!B95='WEEK 2'!B102,'WEEK 1 '!F95,"")</f>
        <v>#REF!</v>
      </c>
      <c r="F102" s="76"/>
      <c r="G102" s="108"/>
      <c r="H102" s="108"/>
      <c r="I102" s="108"/>
      <c r="J102" s="108"/>
      <c r="K102" s="108"/>
      <c r="L102" s="108"/>
      <c r="M102" s="108"/>
      <c r="N102" s="108"/>
    </row>
    <row r="103">
      <c r="A103" s="319">
        <v>2.0</v>
      </c>
      <c r="C103" s="656">
        <v>20.0</v>
      </c>
      <c r="D103" s="317" t="s">
        <v>25</v>
      </c>
      <c r="E103" s="657"/>
      <c r="F103" s="76"/>
      <c r="G103" s="108"/>
      <c r="H103" s="108"/>
      <c r="I103" s="108"/>
      <c r="J103" s="108"/>
      <c r="K103" s="108"/>
      <c r="L103" s="108"/>
      <c r="M103" s="108"/>
      <c r="N103" s="108"/>
    </row>
    <row r="104">
      <c r="A104" s="319">
        <v>3.0</v>
      </c>
      <c r="B104" s="204" t="str">
        <f>if('WEEK 2'!F103&lt;8,mround('WEEK 2'!B103*0.8,5),IF('WEEK 2'!F103&lt;=14,MROUND('WEEK 2'!B103*0.95,5),'WEEK 2'!B103))</f>
        <v>#REF!</v>
      </c>
      <c r="C104" s="656">
        <v>20.0</v>
      </c>
      <c r="D104" s="317" t="s">
        <v>25</v>
      </c>
      <c r="E104" s="657"/>
      <c r="F104" s="76"/>
      <c r="G104" s="108"/>
      <c r="H104" s="108"/>
      <c r="I104" s="108"/>
      <c r="J104" s="108"/>
      <c r="K104" s="108"/>
      <c r="L104" s="108"/>
      <c r="M104" s="108"/>
      <c r="N104" s="108"/>
    </row>
    <row r="105">
      <c r="A105" s="195" t="s">
        <v>91</v>
      </c>
      <c r="B105" s="196" t="str">
        <f>IF('WEEK 2'!F102&lt;10,'WEEK 2'!B100,IF('WEEK 2'!F103&gt;=10,'WEEK 2'!B103,'WEEK 2'!B102))</f>
        <v>#REF!</v>
      </c>
      <c r="C105" s="7"/>
      <c r="D105" s="7"/>
      <c r="E105" s="7"/>
      <c r="F105" s="197"/>
      <c r="G105" s="108"/>
      <c r="H105" s="108"/>
      <c r="I105" s="108"/>
      <c r="J105" s="108"/>
      <c r="K105" s="108"/>
      <c r="L105" s="108"/>
      <c r="M105" s="108"/>
      <c r="N105" s="108"/>
    </row>
    <row r="106">
      <c r="A106" s="658"/>
      <c r="B106" s="16"/>
      <c r="C106" s="16"/>
      <c r="D106" s="16"/>
      <c r="E106" s="16"/>
      <c r="F106" s="16"/>
      <c r="G106" s="108"/>
      <c r="H106" s="108"/>
      <c r="I106" s="108"/>
      <c r="J106" s="108"/>
      <c r="K106" s="108"/>
      <c r="L106" s="108"/>
      <c r="M106" s="108"/>
      <c r="N106" s="108"/>
    </row>
    <row r="107">
      <c r="G107" s="108"/>
      <c r="H107" s="108"/>
      <c r="I107" s="108"/>
      <c r="J107" s="108"/>
      <c r="K107" s="108"/>
      <c r="L107" s="108"/>
      <c r="M107" s="108"/>
      <c r="N107" s="108"/>
    </row>
    <row r="108">
      <c r="A108" s="290" t="str">
        <f>HYPERLINK("https://www.youtube.com/watch?v=NZ9KiFtbiMs","4. LEG CURL")</f>
        <v>4. LEG CURL</v>
      </c>
      <c r="B108" s="44"/>
      <c r="C108" s="44"/>
      <c r="D108" s="44"/>
      <c r="E108" s="44"/>
      <c r="F108" s="45"/>
      <c r="G108" s="108"/>
      <c r="H108" s="290" t="str">
        <f>HYPERLINK("https://youtu.be/kmN9cJ79PDE","4. PRONE LEG CURL")</f>
        <v>4. PRONE LEG CURL</v>
      </c>
      <c r="I108" s="44"/>
      <c r="J108" s="44"/>
      <c r="K108" s="44"/>
      <c r="L108" s="44"/>
      <c r="M108" s="45"/>
      <c r="N108" s="108"/>
    </row>
    <row r="109">
      <c r="A109" s="193" t="s">
        <v>86</v>
      </c>
      <c r="B109" s="81" t="str">
        <f>IF('WEEK 1 '!B103='WEEK 1 '!B105,'WEEK 1 '!B103+5,IF('WEEK 1 '!F103&lt;=9,MROUND('WEEK 1 '!B101*0.95,5),'WEEK 1 '!B103))</f>
        <v>#REF!</v>
      </c>
      <c r="C109" s="4"/>
      <c r="D109" s="4"/>
      <c r="E109" s="4"/>
      <c r="F109" s="48"/>
      <c r="H109" s="193" t="s">
        <v>86</v>
      </c>
      <c r="I109" s="283" t="str">
        <f>IF('WEEK 1 '!I103='WEEK 1 '!I105,'WEEK 1 '!I103+5,IF('WEEK 1 '!M103&lt;=9,MROUND( 'WEEK 1 '!I101*0.95,5),'WEEK 1 '!I103))</f>
        <v>#REF!</v>
      </c>
      <c r="J109" s="11"/>
      <c r="K109" s="11"/>
      <c r="L109" s="11"/>
      <c r="M109" s="86"/>
    </row>
    <row r="110">
      <c r="A110" s="87" t="s">
        <v>18</v>
      </c>
      <c r="B110" s="88" t="s">
        <v>19</v>
      </c>
      <c r="C110" s="88" t="s">
        <v>20</v>
      </c>
      <c r="D110" s="88" t="s">
        <v>21</v>
      </c>
      <c r="E110" s="89" t="s">
        <v>22</v>
      </c>
      <c r="F110" s="202" t="s">
        <v>23</v>
      </c>
      <c r="H110" s="87" t="s">
        <v>18</v>
      </c>
      <c r="I110" s="88" t="s">
        <v>19</v>
      </c>
      <c r="J110" s="88" t="s">
        <v>20</v>
      </c>
      <c r="K110" s="88" t="s">
        <v>21</v>
      </c>
      <c r="L110" s="308" t="s">
        <v>22</v>
      </c>
      <c r="M110" s="202" t="s">
        <v>23</v>
      </c>
    </row>
    <row r="111">
      <c r="A111" s="319">
        <v>1.0</v>
      </c>
      <c r="B111" s="204" t="str">
        <f>mround('WEEK 2'!B109*1.05,5)</f>
        <v>#REF!</v>
      </c>
      <c r="C111" s="656">
        <v>20.0</v>
      </c>
      <c r="D111" s="317" t="s">
        <v>25</v>
      </c>
      <c r="E111" s="75" t="str">
        <f t="shared" ref="E111:E113" si="10">IF('WEEK 1 '!B103=B111,'WEEK 1 '!F103,"")</f>
        <v>#REF!</v>
      </c>
      <c r="F111" s="76"/>
      <c r="G111" s="403" t="s">
        <v>90</v>
      </c>
      <c r="H111" s="319">
        <v>1.0</v>
      </c>
      <c r="I111" s="204" t="str">
        <f>if('WEEK 1 '!I104='WEEK 1 '!I105,'WEEK 2'!I109,'WEEK 2'!I109)</f>
        <v>#REF!</v>
      </c>
      <c r="J111" s="656">
        <v>20.0</v>
      </c>
      <c r="K111" s="317" t="s">
        <v>25</v>
      </c>
      <c r="L111" s="75" t="str">
        <f t="shared" ref="L111:L113" si="11">IF('WEEK 1 '!I103=I111,'WEEK 1 '!M103,"")</f>
        <v>#REF!</v>
      </c>
      <c r="M111" s="76"/>
    </row>
    <row r="112">
      <c r="A112" s="319">
        <v>2.0</v>
      </c>
      <c r="B112" s="204" t="str">
        <f t="shared" ref="B112:B113" si="12">if('WEEK 2'!F111&lt;8,mround('WEEK 2'!B111*0.8,5),IF('WEEK 2'!F111&lt;=14,MROUND('WEEK 2'!B111*0.95,5),'WEEK 2'!B111))</f>
        <v>#REF!</v>
      </c>
      <c r="C112" s="656">
        <v>20.0</v>
      </c>
      <c r="D112" s="317" t="s">
        <v>25</v>
      </c>
      <c r="E112" s="75" t="str">
        <f t="shared" si="10"/>
        <v>#REF!</v>
      </c>
      <c r="F112" s="76"/>
      <c r="H112" s="319">
        <v>2.0</v>
      </c>
      <c r="I112" s="204" t="str">
        <f>if('WEEK 2'!M111&lt;5,mround('WEEK 2'!I111*0.8,5),IF('WEEK 2'!M111&lt;=10,MROUND('WEEK 2'!I111*0.95,5),'WEEK 2'!I111))</f>
        <v>#REF!</v>
      </c>
      <c r="J112" s="659" t="s">
        <v>33</v>
      </c>
      <c r="K112" s="317" t="s">
        <v>25</v>
      </c>
      <c r="L112" s="75" t="str">
        <f t="shared" si="11"/>
        <v>#REF!</v>
      </c>
      <c r="M112" s="76"/>
    </row>
    <row r="113">
      <c r="A113" s="319">
        <v>3.0</v>
      </c>
      <c r="B113" s="204" t="str">
        <f t="shared" si="12"/>
        <v>#REF!</v>
      </c>
      <c r="C113" s="656">
        <v>20.0</v>
      </c>
      <c r="D113" s="317" t="s">
        <v>25</v>
      </c>
      <c r="E113" s="75" t="str">
        <f t="shared" si="10"/>
        <v>#REF!</v>
      </c>
      <c r="F113" s="76"/>
      <c r="G113" s="660"/>
      <c r="H113" s="319">
        <v>3.0</v>
      </c>
      <c r="I113" s="204" t="str">
        <f>if('WEEK 2'!M112&lt;4,mround('WEEK 2'!I112*0.8,5),IF('WEEK 2'!M112&lt;=10,MROUND('WEEK 2'!I112*0.95,5),'WEEK 2'!I112))</f>
        <v>#REF!</v>
      </c>
      <c r="J113" s="659" t="s">
        <v>33</v>
      </c>
      <c r="K113" s="317" t="s">
        <v>25</v>
      </c>
      <c r="L113" s="75" t="str">
        <f t="shared" si="11"/>
        <v>#REF!</v>
      </c>
      <c r="M113" s="76"/>
    </row>
    <row r="114">
      <c r="A114" s="239" t="s">
        <v>91</v>
      </c>
      <c r="B114" s="299" t="str">
        <f>IF('WEEK 2'!F111&lt;10,'WEEK 2'!B109,IF('WEEK 2'!F112&gt;=10,'WEEK 2'!B112,'WEEK 2'!B111))</f>
        <v>#REF!</v>
      </c>
      <c r="C114" s="24"/>
      <c r="D114" s="24"/>
      <c r="E114" s="24"/>
      <c r="F114" s="25"/>
      <c r="H114" s="239" t="s">
        <v>91</v>
      </c>
      <c r="I114" s="299" t="str">
        <f>IF('WEEK 2'!M111&lt;10,'WEEK 2'!I109,IF('WEEK 2'!M112&gt;=10,'WEEK 2'!I112,'WEEK 2'!I111))</f>
        <v>#REF!</v>
      </c>
      <c r="J114" s="24"/>
      <c r="K114" s="24"/>
      <c r="L114" s="24"/>
      <c r="M114" s="25"/>
    </row>
    <row r="115">
      <c r="A115" s="661"/>
      <c r="G115" s="661"/>
    </row>
    <row r="116">
      <c r="A116" s="662" t="s">
        <v>30</v>
      </c>
      <c r="B116" s="11"/>
      <c r="C116" s="11"/>
      <c r="D116" s="11"/>
      <c r="E116" s="11"/>
      <c r="F116" s="12"/>
    </row>
    <row r="117">
      <c r="A117" s="663"/>
      <c r="B117" s="663"/>
      <c r="C117" s="663"/>
      <c r="D117" s="663"/>
      <c r="E117" s="663"/>
      <c r="F117" s="663"/>
      <c r="G117" s="664"/>
      <c r="H117" s="664"/>
      <c r="I117" s="664"/>
      <c r="J117" s="664"/>
      <c r="K117" s="664"/>
      <c r="L117" s="664"/>
      <c r="M117" s="664"/>
      <c r="N117" s="664"/>
    </row>
    <row r="118">
      <c r="A118" s="277" t="str">
        <f>HYPERLINK("https://docs.google.com/a/fitnessresults.com/forms/d/e/1FAIpQLSd7MoczESe8Yjv6BKpmwAZGn9Aiymrs9-UdgfYIUpbr9t5NXg/viewform?usp=pp_url&amp;entry.93370101","CLICK TO COMPLETE WORKOUT")</f>
        <v>CLICK TO COMPLETE WORKOUT</v>
      </c>
      <c r="B118" s="27"/>
      <c r="C118" s="27"/>
      <c r="D118" s="27"/>
      <c r="E118" s="27"/>
      <c r="F118" s="28"/>
      <c r="G118" s="108"/>
      <c r="H118" s="108"/>
      <c r="I118" s="108"/>
      <c r="J118" s="108"/>
      <c r="K118" s="108"/>
      <c r="L118" s="108"/>
      <c r="M118" s="108"/>
      <c r="N118" s="108"/>
    </row>
    <row r="119">
      <c r="A119" s="42" t="s">
        <v>98</v>
      </c>
      <c r="B119" s="27"/>
      <c r="C119" s="27"/>
      <c r="D119" s="27"/>
      <c r="E119" s="27"/>
      <c r="F119" s="28"/>
      <c r="G119" s="108"/>
      <c r="H119" s="108"/>
      <c r="I119" s="108"/>
      <c r="J119" s="108"/>
      <c r="K119" s="108"/>
      <c r="L119" s="108"/>
      <c r="M119" s="108"/>
      <c r="N119" s="108"/>
    </row>
    <row r="120">
      <c r="A120" s="290" t="str">
        <f>HYPERLINK("https://youtu.be/ZhZ733bUA9Q","1. SHOULDER CLEANS")</f>
        <v>1. SHOULDER CLEANS</v>
      </c>
      <c r="B120" s="44"/>
      <c r="C120" s="44"/>
      <c r="D120" s="44"/>
      <c r="E120" s="44"/>
      <c r="F120" s="45"/>
      <c r="G120" s="108"/>
      <c r="H120" s="108"/>
      <c r="I120" s="108"/>
      <c r="J120" s="108"/>
      <c r="K120" s="108"/>
      <c r="L120" s="108"/>
      <c r="M120" s="108"/>
      <c r="N120" s="108"/>
    </row>
    <row r="121">
      <c r="A121" s="193" t="s">
        <v>101</v>
      </c>
      <c r="B121" s="85" t="str">
        <f>'WEEK 1 '!B126</f>
        <v>#REF!</v>
      </c>
      <c r="C121" s="11"/>
      <c r="D121" s="11"/>
      <c r="E121" s="11"/>
      <c r="F121" s="86"/>
      <c r="G121" s="108"/>
      <c r="H121" s="108"/>
      <c r="I121" s="108"/>
      <c r="J121" s="108"/>
      <c r="K121" s="108"/>
      <c r="L121" s="108"/>
      <c r="M121" s="108"/>
      <c r="N121" s="108"/>
    </row>
    <row r="122">
      <c r="A122" s="87" t="s">
        <v>18</v>
      </c>
      <c r="B122" s="88" t="s">
        <v>19</v>
      </c>
      <c r="C122" s="88" t="s">
        <v>20</v>
      </c>
      <c r="D122" s="88" t="s">
        <v>21</v>
      </c>
      <c r="E122" s="89" t="s">
        <v>22</v>
      </c>
      <c r="F122" s="202" t="s">
        <v>23</v>
      </c>
      <c r="G122" s="108"/>
      <c r="H122" s="108"/>
      <c r="I122" s="108"/>
      <c r="J122" s="108"/>
      <c r="K122" s="108"/>
      <c r="L122" s="108"/>
      <c r="M122" s="108"/>
      <c r="N122" s="108"/>
    </row>
    <row r="123">
      <c r="A123" s="53">
        <v>1.0</v>
      </c>
      <c r="B123" s="90" t="str">
        <f> mround('WEEK 2'!B121*0.4,5)</f>
        <v>#REF!</v>
      </c>
      <c r="C123" s="90">
        <v>20.0</v>
      </c>
      <c r="D123" s="74" t="s">
        <v>25</v>
      </c>
      <c r="E123" s="91"/>
      <c r="F123" s="76"/>
      <c r="G123" s="108"/>
      <c r="H123" s="108"/>
      <c r="I123" s="108"/>
      <c r="J123" s="108"/>
      <c r="K123" s="108"/>
      <c r="L123" s="108"/>
      <c r="M123" s="108"/>
      <c r="N123" s="108"/>
    </row>
    <row r="124">
      <c r="A124" s="53">
        <v>2.0</v>
      </c>
      <c r="B124" s="90" t="str">
        <f>if('WEEK 2'!F123&lt;20,mround('WEEK 2'!B121*0.35,5),'WEEK 2'!B123)</f>
        <v>#REF!</v>
      </c>
      <c r="C124" s="90">
        <v>20.0</v>
      </c>
      <c r="D124" s="74" t="s">
        <v>25</v>
      </c>
      <c r="E124" s="91"/>
      <c r="F124" s="76"/>
      <c r="G124" s="108"/>
      <c r="H124" s="108"/>
      <c r="I124" s="108"/>
      <c r="J124" s="108"/>
      <c r="K124" s="108"/>
      <c r="L124" s="108"/>
      <c r="M124" s="108"/>
      <c r="N124" s="108"/>
    </row>
    <row r="125">
      <c r="A125" s="59">
        <v>3.0</v>
      </c>
      <c r="B125" s="92" t="str">
        <f>if('WEEK 2'!F124&lt;20,mround('WEEK 2'!B124*0.75,5),'WEEK 2'!B124)</f>
        <v>#REF!</v>
      </c>
      <c r="C125" s="92">
        <v>20.0</v>
      </c>
      <c r="D125" s="79" t="s">
        <v>25</v>
      </c>
      <c r="E125" s="93"/>
      <c r="F125" s="76"/>
      <c r="G125" s="108"/>
      <c r="H125" s="108"/>
      <c r="I125" s="108"/>
      <c r="J125" s="108"/>
      <c r="K125" s="108"/>
      <c r="L125" s="108"/>
      <c r="M125" s="108"/>
      <c r="N125" s="108"/>
    </row>
    <row r="126">
      <c r="A126" s="179"/>
      <c r="G126" s="108"/>
      <c r="H126" s="108"/>
      <c r="I126" s="108"/>
      <c r="J126" s="108"/>
      <c r="K126" s="108"/>
      <c r="L126" s="108"/>
      <c r="M126" s="108"/>
      <c r="N126" s="108"/>
    </row>
    <row r="127">
      <c r="G127" s="108"/>
      <c r="H127" s="108"/>
      <c r="I127" s="108"/>
      <c r="J127" s="108"/>
      <c r="K127" s="108"/>
      <c r="L127" s="108"/>
      <c r="M127" s="108"/>
      <c r="N127" s="108"/>
    </row>
    <row r="128">
      <c r="A128" s="665" t="str">
        <f>HYPERLINK("https://www.youtube.com/watch?v=XDLQt1j3qUU","2. Dumbbell REAR DELT FLY ")</f>
        <v>2. Dumbbell REAR DELT FLY </v>
      </c>
      <c r="B128" s="44"/>
      <c r="C128" s="44"/>
      <c r="D128" s="44"/>
      <c r="E128" s="44"/>
      <c r="F128" s="45"/>
      <c r="G128" s="666"/>
      <c r="H128" s="667"/>
      <c r="I128" s="668"/>
      <c r="J128" s="668"/>
      <c r="K128" s="668"/>
      <c r="L128" s="668"/>
      <c r="M128" s="668"/>
      <c r="N128" s="108"/>
    </row>
    <row r="129">
      <c r="A129" s="193" t="s">
        <v>116</v>
      </c>
      <c r="B129" s="669" t="str">
        <f>'Week 1 MASTER SHEET'!B126</f>
        <v>#REF!</v>
      </c>
      <c r="C129" s="4"/>
      <c r="D129" s="4"/>
      <c r="E129" s="4"/>
      <c r="F129" s="48"/>
      <c r="G129" s="666"/>
      <c r="H129" s="670"/>
      <c r="I129" s="581"/>
      <c r="J129" s="581"/>
      <c r="K129" s="581"/>
      <c r="L129" s="581"/>
      <c r="M129" s="581"/>
    </row>
    <row r="130">
      <c r="A130" s="87" t="s">
        <v>18</v>
      </c>
      <c r="B130" s="88" t="s">
        <v>19</v>
      </c>
      <c r="C130" s="88" t="s">
        <v>20</v>
      </c>
      <c r="D130" s="88" t="s">
        <v>21</v>
      </c>
      <c r="E130" s="308" t="s">
        <v>22</v>
      </c>
      <c r="F130" s="202" t="s">
        <v>23</v>
      </c>
      <c r="G130" s="666"/>
      <c r="H130" s="670"/>
      <c r="I130" s="581"/>
      <c r="J130" s="581"/>
      <c r="K130" s="581"/>
      <c r="L130" s="581"/>
      <c r="M130" s="581"/>
    </row>
    <row r="131">
      <c r="A131" s="532">
        <v>1.0</v>
      </c>
      <c r="B131" s="204" t="str">
        <f>MROUND('WEEK 2'!B129*0.2,2.5)</f>
        <v>#REF!</v>
      </c>
      <c r="C131" s="56">
        <v>20.0</v>
      </c>
      <c r="D131" s="671" t="s">
        <v>117</v>
      </c>
      <c r="E131" s="313"/>
      <c r="F131" s="672"/>
      <c r="G131" s="666"/>
      <c r="H131" s="670"/>
      <c r="I131" s="581"/>
      <c r="J131" s="581"/>
      <c r="K131" s="581"/>
      <c r="L131" s="581"/>
      <c r="M131" s="581"/>
    </row>
    <row r="132">
      <c r="A132" s="532">
        <v>2.0</v>
      </c>
      <c r="B132" s="204" t="str">
        <f t="shared" ref="B132:B133" si="13">if('WEEK 2'!F131&lt;10,mround('WEEK 2'!B131*0.8,5),IF('WEEK 2'!F131&lt;=15,MROUND('WEEK 2'!B131*0.95,5),'WEEK 2'!B131))</f>
        <v>#REF!</v>
      </c>
      <c r="C132" s="56">
        <v>20.0</v>
      </c>
      <c r="D132" s="671" t="s">
        <v>117</v>
      </c>
      <c r="E132" s="313"/>
      <c r="F132" s="672"/>
      <c r="G132" s="666"/>
      <c r="H132" s="670"/>
      <c r="I132" s="581"/>
      <c r="J132" s="581"/>
      <c r="K132" s="581"/>
      <c r="L132" s="581"/>
      <c r="M132" s="581"/>
    </row>
    <row r="133">
      <c r="A133" s="537">
        <v>3.0</v>
      </c>
      <c r="B133" s="204" t="str">
        <f t="shared" si="13"/>
        <v>#REF!</v>
      </c>
      <c r="C133" s="56">
        <v>20.0</v>
      </c>
      <c r="D133" s="671" t="s">
        <v>117</v>
      </c>
      <c r="E133" s="673"/>
      <c r="F133" s="672"/>
      <c r="G133" s="666"/>
      <c r="H133" s="670"/>
      <c r="I133" s="581"/>
      <c r="J133" s="581"/>
      <c r="K133" s="581"/>
      <c r="L133" s="581"/>
      <c r="M133" s="581"/>
    </row>
    <row r="134">
      <c r="A134" s="259"/>
      <c r="B134" s="259"/>
      <c r="C134" s="259"/>
      <c r="D134" s="259"/>
      <c r="E134" s="259"/>
      <c r="F134" s="259"/>
      <c r="G134" s="259"/>
      <c r="H134" s="259"/>
      <c r="I134" s="259"/>
      <c r="J134" s="259"/>
      <c r="K134" s="259"/>
      <c r="L134" s="259"/>
      <c r="M134" s="259"/>
      <c r="N134" s="259"/>
    </row>
    <row r="135">
      <c r="A135" s="259"/>
      <c r="B135" s="259"/>
      <c r="C135" s="259"/>
      <c r="D135" s="259"/>
      <c r="E135" s="259"/>
      <c r="F135" s="259"/>
      <c r="G135" s="259"/>
      <c r="H135" s="259"/>
      <c r="I135" s="259"/>
      <c r="J135" s="259"/>
      <c r="K135" s="259"/>
      <c r="L135" s="259"/>
      <c r="M135" s="259"/>
      <c r="N135" s="259"/>
    </row>
    <row r="136">
      <c r="A136" s="489" t="str">
        <f>HYPERLINK("https://youtu.be/QUNZvtb6mnY","3. DUMBBELL SIDE LATERAL RAISE")</f>
        <v>3. DUMBBELL SIDE LATERAL RAISE</v>
      </c>
      <c r="B136" s="44"/>
      <c r="C136" s="44"/>
      <c r="D136" s="44"/>
      <c r="E136" s="44"/>
      <c r="F136" s="45"/>
      <c r="G136" s="666"/>
      <c r="H136" s="666"/>
      <c r="I136" s="666"/>
      <c r="J136" s="666"/>
      <c r="K136" s="666"/>
      <c r="L136" s="666"/>
      <c r="M136" s="666"/>
      <c r="N136" s="666"/>
    </row>
    <row r="137">
      <c r="A137" s="193" t="s">
        <v>86</v>
      </c>
      <c r="B137" s="81">
        <v>60.0</v>
      </c>
      <c r="C137" s="4"/>
      <c r="D137" s="4"/>
      <c r="E137" s="4"/>
      <c r="F137" s="48"/>
      <c r="G137" s="666"/>
      <c r="H137" s="666"/>
      <c r="I137" s="666"/>
      <c r="J137" s="666"/>
      <c r="K137" s="666"/>
      <c r="L137" s="666"/>
      <c r="M137" s="666"/>
      <c r="N137" s="666"/>
    </row>
    <row r="138">
      <c r="A138" s="343" t="s">
        <v>18</v>
      </c>
      <c r="B138" s="70" t="s">
        <v>19</v>
      </c>
      <c r="C138" s="70" t="s">
        <v>20</v>
      </c>
      <c r="D138" s="70" t="s">
        <v>21</v>
      </c>
      <c r="E138" s="89" t="s">
        <v>22</v>
      </c>
      <c r="F138" s="344" t="s">
        <v>23</v>
      </c>
      <c r="G138" s="666"/>
      <c r="H138" s="666"/>
      <c r="I138" s="666"/>
      <c r="J138" s="666"/>
      <c r="K138" s="666"/>
      <c r="L138" s="666"/>
      <c r="M138" s="666"/>
      <c r="N138" s="666"/>
    </row>
    <row r="139">
      <c r="A139" s="72">
        <v>1.0</v>
      </c>
      <c r="B139" s="73" t="str">
        <f> mround('WEEK 2'!B137*0.2,5)</f>
        <v>#REF!</v>
      </c>
      <c r="C139" s="56">
        <v>20.0</v>
      </c>
      <c r="D139" s="74" t="s">
        <v>25</v>
      </c>
      <c r="E139" s="80" t="str">
        <f t="shared" ref="E139:E141" si="14">IF('WEEK 1 '!B139='WEEK 2'!B139,'WEEK 1 '!F139,"")</f>
        <v>#REF!</v>
      </c>
      <c r="F139" s="297"/>
      <c r="G139" s="666"/>
      <c r="H139" s="666"/>
      <c r="I139" s="666"/>
      <c r="J139" s="666"/>
      <c r="K139" s="666"/>
      <c r="L139" s="666"/>
      <c r="M139" s="666"/>
      <c r="N139" s="666"/>
    </row>
    <row r="140">
      <c r="A140" s="72">
        <v>2.0</v>
      </c>
      <c r="B140" s="73" t="str">
        <f>if('WEEK 2'!F139&lt;15,mround('WEEK 2'!B137*0.15,2.5),'WEEK 2'!B139)</f>
        <v>#REF!</v>
      </c>
      <c r="C140" s="56">
        <v>20.0</v>
      </c>
      <c r="D140" s="74" t="s">
        <v>25</v>
      </c>
      <c r="E140" s="80" t="str">
        <f t="shared" si="14"/>
        <v>#REF!</v>
      </c>
      <c r="F140" s="297"/>
      <c r="G140" s="666"/>
      <c r="H140" s="666"/>
      <c r="I140" s="666"/>
      <c r="J140" s="666"/>
      <c r="K140" s="666"/>
      <c r="L140" s="666"/>
      <c r="M140" s="666"/>
      <c r="N140" s="666"/>
    </row>
    <row r="141">
      <c r="A141" s="77">
        <v>3.0</v>
      </c>
      <c r="B141" s="78" t="str">
        <f>if('WEEK 2'!F140&lt;15,mround('WEEK 2'!B137*0.1,2.5),'WEEK 2'!B140)</f>
        <v>#REF!</v>
      </c>
      <c r="C141" s="62">
        <v>20.0</v>
      </c>
      <c r="D141" s="79" t="s">
        <v>25</v>
      </c>
      <c r="E141" s="80" t="str">
        <f t="shared" si="14"/>
        <v>#REF!</v>
      </c>
      <c r="F141" s="76"/>
      <c r="G141" s="666"/>
      <c r="H141" s="666"/>
      <c r="I141" s="666"/>
      <c r="J141" s="666"/>
      <c r="K141" s="666"/>
      <c r="L141" s="666"/>
      <c r="M141" s="666"/>
      <c r="N141" s="666"/>
    </row>
    <row r="142">
      <c r="A142" s="674"/>
      <c r="G142" s="666"/>
      <c r="H142" s="666"/>
      <c r="I142" s="666"/>
      <c r="J142" s="666"/>
      <c r="K142" s="666"/>
      <c r="L142" s="666"/>
      <c r="M142" s="666"/>
      <c r="N142" s="666"/>
    </row>
    <row r="143">
      <c r="G143" s="666"/>
      <c r="H143" s="666"/>
      <c r="I143" s="666"/>
      <c r="J143" s="666"/>
      <c r="K143" s="666"/>
      <c r="L143" s="666"/>
      <c r="M143" s="666"/>
      <c r="N143" s="666"/>
    </row>
    <row r="144">
      <c r="A144" s="64" t="str">
        <f>HYPERLINK("https://youtu.be/Yke__29qVfo","4. TRICEP PUSH DOWNS")</f>
        <v>4. TRICEP PUSH DOWNS</v>
      </c>
      <c r="B144" s="44"/>
      <c r="C144" s="44"/>
      <c r="D144" s="44"/>
      <c r="E144" s="44"/>
      <c r="F144" s="45"/>
      <c r="G144" s="675"/>
      <c r="H144" s="675"/>
      <c r="I144" s="675"/>
      <c r="J144" s="675"/>
      <c r="K144" s="675"/>
      <c r="L144" s="675"/>
      <c r="M144" s="675"/>
      <c r="N144" s="675"/>
    </row>
    <row r="145">
      <c r="A145" s="193" t="s">
        <v>86</v>
      </c>
      <c r="B145" s="81">
        <v>60.0</v>
      </c>
      <c r="C145" s="4"/>
      <c r="D145" s="4"/>
      <c r="E145" s="4"/>
      <c r="F145" s="48"/>
      <c r="G145" s="675"/>
      <c r="H145" s="675"/>
      <c r="I145" s="675"/>
      <c r="J145" s="675"/>
      <c r="K145" s="675"/>
      <c r="L145" s="675"/>
      <c r="M145" s="675"/>
      <c r="N145" s="675"/>
    </row>
    <row r="146">
      <c r="A146" s="68" t="s">
        <v>18</v>
      </c>
      <c r="B146" s="69" t="s">
        <v>19</v>
      </c>
      <c r="C146" s="69" t="s">
        <v>20</v>
      </c>
      <c r="D146" s="69" t="s">
        <v>21</v>
      </c>
      <c r="E146" s="71" t="s">
        <v>22</v>
      </c>
      <c r="F146" s="202" t="s">
        <v>23</v>
      </c>
      <c r="G146" s="675"/>
      <c r="H146" s="675"/>
      <c r="I146" s="675"/>
      <c r="J146" s="675"/>
      <c r="K146" s="675"/>
      <c r="L146" s="675"/>
      <c r="M146" s="675"/>
      <c r="N146" s="675"/>
    </row>
    <row r="147">
      <c r="A147" s="72">
        <v>1.0</v>
      </c>
      <c r="B147" s="73">
        <f>B145</f>
        <v>60</v>
      </c>
      <c r="C147" s="56">
        <v>20.0</v>
      </c>
      <c r="D147" s="74" t="s">
        <v>26</v>
      </c>
      <c r="E147" s="75" t="str">
        <f t="shared" ref="E147:E149" si="15">IF('WEEK 1 '!B147=B147,'WEEK 1 '!F147,"")</f>
        <v>#REF!</v>
      </c>
      <c r="F147" s="76"/>
      <c r="G147" s="675"/>
      <c r="H147" s="675"/>
      <c r="I147" s="675"/>
      <c r="J147" s="675"/>
      <c r="K147" s="675"/>
      <c r="L147" s="675"/>
      <c r="M147" s="675"/>
      <c r="N147" s="675"/>
    </row>
    <row r="148">
      <c r="A148" s="72">
        <v>2.0</v>
      </c>
      <c r="B148" s="73" t="str">
        <f>if('WEEK 2'!F147&lt;10,mround('WEEK 2'!B147*0.8,5),IF('WEEK 2'!F147&lt;=14,MROUND('WEEK 2'!B145*0.95,5),'WEEK 2'!B147))</f>
        <v>#REF!</v>
      </c>
      <c r="C148" s="56">
        <v>20.0</v>
      </c>
      <c r="D148" s="74" t="s">
        <v>26</v>
      </c>
      <c r="E148" s="75" t="str">
        <f t="shared" si="15"/>
        <v>#REF!</v>
      </c>
      <c r="F148" s="76"/>
      <c r="G148" s="675"/>
      <c r="H148" s="675"/>
      <c r="I148" s="675"/>
      <c r="J148" s="675"/>
      <c r="K148" s="675"/>
      <c r="L148" s="675"/>
      <c r="M148" s="675"/>
      <c r="N148" s="675"/>
    </row>
    <row r="149">
      <c r="A149" s="604">
        <v>3.0</v>
      </c>
      <c r="B149" s="605" t="str">
        <f>if('WEEK 2'!F148&lt;10,mround('WEEK 2'!B148*0.8,5),IF('WEEK 2'!F148&lt;=14,MROUND('WEEK 2'!B148*0.95,5),'WEEK 2'!B148))</f>
        <v>#REF!</v>
      </c>
      <c r="C149" s="606">
        <v>20.0</v>
      </c>
      <c r="D149" s="295" t="s">
        <v>26</v>
      </c>
      <c r="E149" s="75" t="str">
        <f t="shared" si="15"/>
        <v>#REF!</v>
      </c>
      <c r="F149" s="297"/>
      <c r="G149" s="675"/>
      <c r="H149" s="675"/>
      <c r="I149" s="675"/>
      <c r="J149" s="675"/>
      <c r="K149" s="675"/>
      <c r="L149" s="675"/>
      <c r="M149" s="675"/>
      <c r="N149" s="675"/>
    </row>
    <row r="150">
      <c r="G150" s="675"/>
      <c r="H150" s="675"/>
      <c r="I150" s="675"/>
      <c r="J150" s="675"/>
      <c r="K150" s="675"/>
      <c r="L150" s="675"/>
      <c r="M150" s="675"/>
      <c r="N150" s="675"/>
    </row>
    <row r="151">
      <c r="G151" s="675"/>
      <c r="H151" s="675"/>
      <c r="I151" s="675"/>
      <c r="J151" s="675"/>
      <c r="K151" s="675"/>
      <c r="L151" s="675"/>
      <c r="M151" s="675"/>
      <c r="N151" s="675"/>
    </row>
    <row r="152">
      <c r="A152" s="66" t="str">
        <f>HYPERLINK("https://www.youtube.com/watch?v=9IqvmIhFxtY","4. BICEP CABLE CURL")</f>
        <v>4. BICEP CABLE CURL</v>
      </c>
      <c r="B152" s="44"/>
      <c r="C152" s="44"/>
      <c r="D152" s="44"/>
      <c r="E152" s="44"/>
      <c r="F152" s="45"/>
      <c r="G152" s="676"/>
      <c r="H152" s="367" t="str">
        <f>HYPERLINK("https://www.youtube.com/watch?v=Bi6Do6QIlpQ","4. BICEP EZ BAR CURL")</f>
        <v>4. BICEP EZ BAR CURL</v>
      </c>
      <c r="I152" s="16"/>
      <c r="J152" s="16"/>
      <c r="K152" s="16"/>
      <c r="L152" s="17"/>
      <c r="M152" s="677"/>
      <c r="N152" s="108"/>
    </row>
    <row r="153">
      <c r="A153" s="193" t="s">
        <v>86</v>
      </c>
      <c r="B153" s="593">
        <v>60.0</v>
      </c>
      <c r="C153" s="4"/>
      <c r="D153" s="4"/>
      <c r="E153" s="4"/>
      <c r="F153" s="48"/>
      <c r="G153" s="676"/>
      <c r="H153" s="597" t="s">
        <v>118</v>
      </c>
      <c r="I153" s="16"/>
      <c r="J153" s="16"/>
      <c r="K153" s="16"/>
      <c r="L153" s="16"/>
      <c r="M153" s="678"/>
    </row>
    <row r="154">
      <c r="A154" s="68" t="s">
        <v>18</v>
      </c>
      <c r="B154" s="69" t="s">
        <v>19</v>
      </c>
      <c r="C154" s="69" t="s">
        <v>20</v>
      </c>
      <c r="D154" s="69" t="s">
        <v>21</v>
      </c>
      <c r="E154" s="71" t="s">
        <v>22</v>
      </c>
      <c r="F154" s="202" t="s">
        <v>23</v>
      </c>
      <c r="G154" s="676"/>
      <c r="H154" s="49" t="s">
        <v>18</v>
      </c>
      <c r="I154" s="599" t="s">
        <v>19</v>
      </c>
      <c r="J154" s="599" t="s">
        <v>20</v>
      </c>
      <c r="K154" s="599" t="s">
        <v>21</v>
      </c>
      <c r="L154" s="600" t="s">
        <v>23</v>
      </c>
      <c r="M154" s="679"/>
    </row>
    <row r="155">
      <c r="A155" s="72">
        <v>1.0</v>
      </c>
      <c r="B155" s="73">
        <f>B153*0.5</f>
        <v>30</v>
      </c>
      <c r="C155" s="56">
        <v>20.0</v>
      </c>
      <c r="D155" s="74" t="s">
        <v>26</v>
      </c>
      <c r="E155" s="75" t="str">
        <f t="shared" ref="E155:E157" si="16">IF('WEEK 1 '!B158=B155,'WEEK 1 '!F158,"")</f>
        <v>#REF!</v>
      </c>
      <c r="F155" s="76"/>
      <c r="G155" s="676"/>
      <c r="H155" s="680">
        <v>1.0</v>
      </c>
      <c r="I155" s="158">
        <v>25.0</v>
      </c>
      <c r="J155" s="152">
        <v>4.0</v>
      </c>
      <c r="K155" s="139" t="s">
        <v>55</v>
      </c>
      <c r="L155" s="681"/>
      <c r="M155" s="682"/>
    </row>
    <row r="156">
      <c r="A156" s="72">
        <v>2.0</v>
      </c>
      <c r="B156" s="73" t="str">
        <f>if('WEEK 2'!F155&lt;10,mround('WEEK 2'!B155*0.8,5),IF('WEEK 2'!F155&lt;=14,MROUND('WEEK 2'!B153*0.95,5),'WEEK 2'!B155))</f>
        <v>#REF!</v>
      </c>
      <c r="C156" s="56">
        <v>20.0</v>
      </c>
      <c r="D156" s="74" t="s">
        <v>26</v>
      </c>
      <c r="E156" s="75" t="str">
        <f t="shared" si="16"/>
        <v>#REF!</v>
      </c>
      <c r="F156" s="76"/>
      <c r="G156" s="676"/>
      <c r="H156" s="683">
        <v>2.0</v>
      </c>
      <c r="I156" s="205">
        <f t="shared" ref="I156:I157" si="17">I155+10</f>
        <v>35</v>
      </c>
      <c r="J156" s="142">
        <v>4.0</v>
      </c>
      <c r="K156" s="602" t="s">
        <v>55</v>
      </c>
      <c r="L156" s="684"/>
      <c r="M156" s="679"/>
    </row>
    <row r="157">
      <c r="A157" s="604">
        <v>3.0</v>
      </c>
      <c r="B157" s="605" t="str">
        <f>if('WEEK 2'!F156&lt;10,mround('WEEK 2'!B156*0.8,5),IF('WEEK 2'!F156&lt;=14,MROUND('WEEK 2'!B156*0.95,5),'WEEK 2'!B156))</f>
        <v>#REF!</v>
      </c>
      <c r="C157" s="606">
        <v>20.0</v>
      </c>
      <c r="D157" s="295" t="s">
        <v>26</v>
      </c>
      <c r="E157" s="607" t="str">
        <f t="shared" si="16"/>
        <v>#REF!</v>
      </c>
      <c r="F157" s="297"/>
      <c r="G157" s="676"/>
      <c r="H157" s="683">
        <v>3.0</v>
      </c>
      <c r="I157" s="205">
        <f t="shared" si="17"/>
        <v>45</v>
      </c>
      <c r="J157" s="142">
        <v>4.0</v>
      </c>
      <c r="K157" s="602" t="s">
        <v>55</v>
      </c>
      <c r="L157" s="603"/>
      <c r="M157" s="682"/>
    </row>
    <row r="158">
      <c r="A158" s="685"/>
      <c r="B158" s="685"/>
      <c r="C158" s="685"/>
      <c r="D158" s="685"/>
      <c r="E158" s="685"/>
      <c r="F158" s="685"/>
      <c r="G158" s="686"/>
      <c r="H158" s="216"/>
      <c r="I158" s="158"/>
      <c r="J158" s="142"/>
      <c r="K158" s="139"/>
      <c r="L158" s="76"/>
      <c r="M158" s="687"/>
    </row>
    <row r="159">
      <c r="A159" s="688"/>
      <c r="B159" s="688"/>
      <c r="C159" s="688"/>
      <c r="D159" s="688"/>
      <c r="E159" s="688"/>
      <c r="F159" s="688"/>
      <c r="G159" s="108"/>
      <c r="H159" s="216"/>
      <c r="I159" s="158"/>
      <c r="J159" s="142"/>
      <c r="K159" s="139"/>
      <c r="L159" s="76"/>
      <c r="M159" s="682"/>
    </row>
    <row r="160">
      <c r="A160" s="688"/>
      <c r="B160" s="688"/>
      <c r="C160" s="688"/>
      <c r="D160" s="688"/>
      <c r="E160" s="688"/>
      <c r="F160" s="688"/>
      <c r="H160" s="216"/>
      <c r="I160" s="158"/>
      <c r="J160" s="142"/>
      <c r="K160" s="139"/>
      <c r="L160" s="76"/>
      <c r="M160" s="682"/>
    </row>
    <row r="161">
      <c r="A161" s="688"/>
      <c r="B161" s="688"/>
      <c r="C161" s="688"/>
      <c r="D161" s="688"/>
      <c r="E161" s="688"/>
      <c r="F161" s="688"/>
      <c r="H161" s="216"/>
      <c r="I161" s="376"/>
      <c r="J161" s="609"/>
      <c r="K161" s="384"/>
      <c r="L161" s="297"/>
      <c r="M161" s="689"/>
    </row>
    <row r="162" ht="15.0" customHeight="1">
      <c r="A162" s="690"/>
      <c r="B162" s="690"/>
      <c r="C162" s="690"/>
      <c r="D162" s="690"/>
      <c r="E162" s="690"/>
      <c r="F162" s="690"/>
      <c r="H162" s="612" t="s">
        <v>91</v>
      </c>
      <c r="I162" s="32">
        <v>100.0</v>
      </c>
      <c r="J162" s="27"/>
      <c r="K162" s="27"/>
      <c r="L162" s="28"/>
      <c r="M162" s="690"/>
      <c r="N162" s="691"/>
    </row>
    <row r="163">
      <c r="A163" s="646" t="str">
        <f>HYPERLINK("https://docs.google.com/a/fitnessresults.com/forms/d/e/1FAIpQLSd7MoczESe8Yjv6BKpmwAZGn9Aiymrs9-UdgfYIUpbr9t5NXg/viewform?usp=pp_url&amp;entry.93370101","CLICK TO COMPLETE WORKOUT")</f>
        <v>CLICK TO COMPLETE WORKOUT</v>
      </c>
      <c r="B163" s="16"/>
      <c r="C163" s="16"/>
      <c r="D163" s="16"/>
      <c r="E163" s="16"/>
      <c r="F163" s="17"/>
      <c r="G163" s="690"/>
      <c r="M163" s="690"/>
      <c r="N163" s="690"/>
    </row>
    <row r="164">
      <c r="A164" s="303"/>
      <c r="B164" s="2"/>
      <c r="C164" s="2"/>
      <c r="D164" s="2"/>
      <c r="E164" s="2"/>
      <c r="F164" s="37"/>
      <c r="G164" s="690"/>
      <c r="H164" s="690"/>
      <c r="I164" s="690"/>
      <c r="J164" s="690"/>
      <c r="K164" s="690"/>
      <c r="L164" s="690"/>
      <c r="M164" s="690"/>
      <c r="N164" s="690"/>
    </row>
    <row r="165">
      <c r="A165" s="661"/>
      <c r="G165" s="690"/>
      <c r="H165" s="690"/>
      <c r="I165" s="690"/>
      <c r="J165" s="690"/>
      <c r="K165" s="690"/>
      <c r="L165" s="690"/>
      <c r="M165" s="690"/>
      <c r="N165" s="690"/>
    </row>
    <row r="166">
      <c r="A166" s="616" t="str">
        <f>HYPERLINK("https://www.amazon.com/30-Minute-Body-Investment-Champion/dp/0692791892/ref=sr_1_1?ie=UTF8&amp;qid=1490447969&amp;sr=8-1&amp;keywords=30+minute+body","WANT TO LEARN MORE?")</f>
        <v>WANT TO LEARN MORE?</v>
      </c>
      <c r="B166" s="7"/>
      <c r="C166" s="7"/>
      <c r="D166" s="7"/>
      <c r="E166" s="7"/>
      <c r="F166" s="8"/>
      <c r="G166" s="690"/>
      <c r="H166" s="690"/>
      <c r="I166" s="690"/>
      <c r="J166" s="690"/>
      <c r="K166" s="690"/>
      <c r="L166" s="690"/>
      <c r="M166" s="690"/>
      <c r="N166" s="690"/>
    </row>
    <row r="167">
      <c r="A167" s="9"/>
      <c r="B167" s="4"/>
      <c r="C167" s="4"/>
      <c r="D167" s="4"/>
      <c r="E167" s="4"/>
      <c r="F167" s="5"/>
      <c r="G167" s="690"/>
      <c r="H167" s="690"/>
      <c r="I167" s="690"/>
      <c r="J167" s="690"/>
      <c r="K167" s="690"/>
      <c r="L167" s="690"/>
      <c r="M167" s="690"/>
      <c r="N167" s="690"/>
    </row>
    <row r="168">
      <c r="A168" s="617"/>
      <c r="B168" s="618"/>
      <c r="C168" s="692" t="s">
        <v>35</v>
      </c>
      <c r="D168" s="16"/>
      <c r="E168" s="16"/>
      <c r="F168" s="17"/>
      <c r="G168" s="690"/>
      <c r="H168" s="690"/>
      <c r="I168" s="690"/>
      <c r="J168" s="690"/>
      <c r="K168" s="690"/>
      <c r="L168" s="690"/>
      <c r="M168" s="690"/>
      <c r="N168" s="690"/>
    </row>
    <row r="169">
      <c r="A169" s="620"/>
      <c r="B169" s="621"/>
      <c r="C169" s="505"/>
      <c r="F169" s="19"/>
      <c r="G169" s="690"/>
      <c r="H169" s="690"/>
      <c r="I169" s="690"/>
      <c r="J169" s="690"/>
      <c r="K169" s="690"/>
      <c r="L169" s="690"/>
      <c r="M169" s="690"/>
      <c r="N169" s="690"/>
    </row>
    <row r="170">
      <c r="A170" s="620"/>
      <c r="B170" s="621"/>
      <c r="C170" s="505"/>
      <c r="F170" s="19"/>
      <c r="G170" s="690"/>
      <c r="H170" s="690"/>
      <c r="I170" s="690"/>
      <c r="J170" s="690"/>
      <c r="K170" s="690"/>
      <c r="L170" s="690"/>
      <c r="M170" s="690"/>
      <c r="N170" s="690"/>
    </row>
    <row r="171">
      <c r="A171" s="620"/>
      <c r="B171" s="621"/>
      <c r="C171" s="505"/>
      <c r="F171" s="19"/>
      <c r="G171" s="690"/>
      <c r="H171" s="690"/>
      <c r="I171" s="690"/>
      <c r="J171" s="690"/>
      <c r="K171" s="690"/>
      <c r="L171" s="690"/>
      <c r="M171" s="690"/>
      <c r="N171" s="690"/>
    </row>
    <row r="172">
      <c r="A172" s="620"/>
      <c r="B172" s="621"/>
      <c r="C172" s="505"/>
      <c r="F172" s="19"/>
      <c r="G172" s="690"/>
      <c r="H172" s="690"/>
      <c r="I172" s="690"/>
      <c r="J172" s="690"/>
      <c r="K172" s="690"/>
      <c r="L172" s="690"/>
      <c r="M172" s="690"/>
      <c r="N172" s="690"/>
    </row>
    <row r="173">
      <c r="A173" s="620"/>
      <c r="B173" s="621"/>
      <c r="C173" s="505"/>
      <c r="F173" s="19"/>
      <c r="G173" s="690"/>
      <c r="H173" s="690"/>
      <c r="I173" s="690"/>
      <c r="J173" s="690"/>
      <c r="K173" s="690"/>
      <c r="L173" s="690"/>
      <c r="M173" s="690"/>
      <c r="N173" s="690"/>
    </row>
    <row r="174">
      <c r="A174" s="622"/>
      <c r="B174" s="621"/>
      <c r="C174" s="505"/>
      <c r="F174" s="19"/>
      <c r="G174" s="690"/>
      <c r="H174" s="690"/>
      <c r="I174" s="690"/>
      <c r="J174" s="690"/>
      <c r="K174" s="690"/>
      <c r="L174" s="690"/>
      <c r="M174" s="690"/>
      <c r="N174" s="690"/>
    </row>
    <row r="175">
      <c r="A175" s="620"/>
      <c r="B175" s="621"/>
      <c r="C175" s="505"/>
      <c r="F175" s="19"/>
      <c r="G175" s="690"/>
      <c r="H175" s="690"/>
      <c r="I175" s="690"/>
      <c r="J175" s="690"/>
      <c r="K175" s="690"/>
      <c r="L175" s="690"/>
      <c r="M175" s="690"/>
      <c r="N175" s="690"/>
    </row>
    <row r="176">
      <c r="A176" s="620"/>
      <c r="B176" s="621"/>
      <c r="C176" s="505"/>
      <c r="F176" s="19"/>
      <c r="G176" s="690"/>
      <c r="H176" s="690"/>
      <c r="I176" s="690"/>
      <c r="J176" s="690"/>
      <c r="K176" s="690"/>
      <c r="L176" s="690"/>
      <c r="M176" s="690"/>
      <c r="N176" s="690"/>
    </row>
    <row r="177">
      <c r="A177" s="623"/>
      <c r="B177" s="621"/>
      <c r="C177" s="505"/>
      <c r="F177" s="19"/>
      <c r="G177" s="690"/>
      <c r="H177" s="690"/>
      <c r="I177" s="690"/>
      <c r="J177" s="690"/>
      <c r="K177" s="690"/>
      <c r="L177" s="690"/>
      <c r="M177" s="690"/>
      <c r="N177" s="690"/>
    </row>
    <row r="178">
      <c r="A178" s="620"/>
      <c r="B178" s="621"/>
      <c r="C178" s="505"/>
      <c r="F178" s="19"/>
      <c r="G178" s="690"/>
      <c r="H178" s="690"/>
      <c r="I178" s="690"/>
      <c r="J178" s="690"/>
      <c r="K178" s="690"/>
      <c r="L178" s="690"/>
      <c r="M178" s="690"/>
      <c r="N178" s="690"/>
    </row>
    <row r="179">
      <c r="A179" s="620"/>
      <c r="B179" s="621"/>
      <c r="C179" s="505"/>
      <c r="F179" s="19"/>
      <c r="G179" s="690"/>
      <c r="H179" s="690"/>
      <c r="I179" s="690"/>
      <c r="J179" s="690"/>
      <c r="K179" s="690"/>
      <c r="L179" s="690"/>
      <c r="M179" s="690"/>
      <c r="N179" s="690"/>
    </row>
    <row r="180">
      <c r="A180" s="620"/>
      <c r="B180" s="621"/>
      <c r="C180" s="505"/>
      <c r="F180" s="19"/>
      <c r="G180" s="690"/>
      <c r="H180" s="690"/>
      <c r="I180" s="690"/>
      <c r="J180" s="690"/>
      <c r="K180" s="690"/>
      <c r="L180" s="690"/>
      <c r="M180" s="690"/>
      <c r="N180" s="690"/>
    </row>
    <row r="181">
      <c r="A181" s="620"/>
      <c r="B181" s="621"/>
      <c r="C181" s="505"/>
      <c r="F181" s="19"/>
      <c r="G181" s="690"/>
      <c r="H181" s="690"/>
      <c r="I181" s="690"/>
      <c r="J181" s="690"/>
      <c r="K181" s="690"/>
      <c r="L181" s="690"/>
      <c r="M181" s="690"/>
      <c r="N181" s="690"/>
    </row>
    <row r="182">
      <c r="A182" s="624"/>
      <c r="B182" s="625"/>
      <c r="C182" s="303"/>
      <c r="D182" s="2"/>
      <c r="E182" s="2"/>
      <c r="F182" s="37"/>
      <c r="G182" s="690"/>
      <c r="H182" s="690"/>
      <c r="I182" s="690"/>
      <c r="J182" s="690"/>
      <c r="K182" s="690"/>
      <c r="L182" s="690"/>
      <c r="M182" s="690"/>
      <c r="N182" s="690"/>
    </row>
  </sheetData>
  <mergeCells count="95">
    <mergeCell ref="G1:N15"/>
    <mergeCell ref="A9:F9"/>
    <mergeCell ref="A10:F11"/>
    <mergeCell ref="A12:F12"/>
    <mergeCell ref="A13:F13"/>
    <mergeCell ref="A14:F15"/>
    <mergeCell ref="A16:F16"/>
    <mergeCell ref="A20:F20"/>
    <mergeCell ref="B21:F21"/>
    <mergeCell ref="A19:F19"/>
    <mergeCell ref="A27:F27"/>
    <mergeCell ref="G27:G28"/>
    <mergeCell ref="H27:M27"/>
    <mergeCell ref="G19:G26"/>
    <mergeCell ref="G29:G31"/>
    <mergeCell ref="G37:G41"/>
    <mergeCell ref="A29:F29"/>
    <mergeCell ref="B34:F34"/>
    <mergeCell ref="H16:M16"/>
    <mergeCell ref="A17:N18"/>
    <mergeCell ref="H19:M19"/>
    <mergeCell ref="N19:N31"/>
    <mergeCell ref="H20:M20"/>
    <mergeCell ref="I21:M21"/>
    <mergeCell ref="H29:M29"/>
    <mergeCell ref="A108:F108"/>
    <mergeCell ref="B109:F109"/>
    <mergeCell ref="A99:F99"/>
    <mergeCell ref="B100:F100"/>
    <mergeCell ref="B105:F105"/>
    <mergeCell ref="A106:F107"/>
    <mergeCell ref="H108:M108"/>
    <mergeCell ref="N108:N114"/>
    <mergeCell ref="I109:M109"/>
    <mergeCell ref="G113:G114"/>
    <mergeCell ref="B114:F114"/>
    <mergeCell ref="A115:F115"/>
    <mergeCell ref="A116:F116"/>
    <mergeCell ref="A118:F118"/>
    <mergeCell ref="A119:F119"/>
    <mergeCell ref="A120:F120"/>
    <mergeCell ref="B121:F121"/>
    <mergeCell ref="A126:F127"/>
    <mergeCell ref="A128:F128"/>
    <mergeCell ref="N128:N133"/>
    <mergeCell ref="B129:F129"/>
    <mergeCell ref="A136:F136"/>
    <mergeCell ref="B137:F137"/>
    <mergeCell ref="G159:G162"/>
    <mergeCell ref="I162:L162"/>
    <mergeCell ref="A163:F164"/>
    <mergeCell ref="A165:F165"/>
    <mergeCell ref="A166:F167"/>
    <mergeCell ref="C168:F182"/>
    <mergeCell ref="A142:F143"/>
    <mergeCell ref="A144:F144"/>
    <mergeCell ref="B145:F145"/>
    <mergeCell ref="A150:F151"/>
    <mergeCell ref="A152:F152"/>
    <mergeCell ref="N152:N161"/>
    <mergeCell ref="B153:F153"/>
    <mergeCell ref="I34:M34"/>
    <mergeCell ref="A35:N36"/>
    <mergeCell ref="A37:F37"/>
    <mergeCell ref="H37:M37"/>
    <mergeCell ref="B38:F38"/>
    <mergeCell ref="I38:M38"/>
    <mergeCell ref="N38:N41"/>
    <mergeCell ref="A42:N43"/>
    <mergeCell ref="A44:F44"/>
    <mergeCell ref="B45:F45"/>
    <mergeCell ref="A51:F51"/>
    <mergeCell ref="A54:F54"/>
    <mergeCell ref="B57:F57"/>
    <mergeCell ref="A59:F59"/>
    <mergeCell ref="B60:F60"/>
    <mergeCell ref="A65:F66"/>
    <mergeCell ref="A67:F67"/>
    <mergeCell ref="B68:F68"/>
    <mergeCell ref="A74:F75"/>
    <mergeCell ref="A77:F77"/>
    <mergeCell ref="A78:F78"/>
    <mergeCell ref="A79:F79"/>
    <mergeCell ref="A80:F80"/>
    <mergeCell ref="A84:F85"/>
    <mergeCell ref="A86:F86"/>
    <mergeCell ref="B87:F87"/>
    <mergeCell ref="B96:F96"/>
    <mergeCell ref="A97:F98"/>
    <mergeCell ref="G108:G110"/>
    <mergeCell ref="G111:G112"/>
    <mergeCell ref="I114:M114"/>
    <mergeCell ref="G115:N116"/>
    <mergeCell ref="H152:L152"/>
    <mergeCell ref="H153:L153"/>
  </mergeCells>
  <dataValidations>
    <dataValidation type="decimal" operator="greaterThanOrEqual" allowBlank="1" showDropDown="1" showErrorMessage="1" sqref="F1:F8 F22:F26 F39:F41 F46:F49 F53 F55 F61:F64 F69:F73 F81:F83 F88:F95 F101:F104 F110:F113 F122:F125 F138:F141 M154:M155 M157">
      <formula1>0.0</formula1>
    </dataValidation>
    <dataValidation type="decimal" allowBlank="1" showDropDown="1" showErrorMessage="1" sqref="L155:L161">
      <formula1>0.0</formula1>
      <formula2>500.0</formula2>
    </dataValidation>
  </dataValidation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3.25"/>
    <col customWidth="1" min="8" max="8" width="13.13"/>
    <col customWidth="1" min="12" max="12" width="13.88"/>
  </cols>
  <sheetData>
    <row r="1">
      <c r="A1" s="693"/>
      <c r="B1" s="693"/>
      <c r="C1" s="693"/>
      <c r="D1" s="693"/>
      <c r="E1" s="694"/>
      <c r="F1" s="387"/>
      <c r="G1" s="387"/>
      <c r="H1" s="387"/>
      <c r="I1" s="387"/>
      <c r="J1" s="387"/>
      <c r="K1" s="387"/>
      <c r="L1" s="695"/>
      <c r="M1" s="387"/>
      <c r="N1" s="387"/>
      <c r="O1" s="387"/>
      <c r="P1" s="387"/>
      <c r="Q1" s="387"/>
      <c r="R1" s="387"/>
      <c r="S1" s="387"/>
      <c r="T1" s="387"/>
      <c r="U1" s="387"/>
      <c r="V1" s="387"/>
      <c r="W1" s="387"/>
      <c r="X1" s="387"/>
      <c r="Y1" s="387"/>
      <c r="Z1" s="387"/>
    </row>
    <row r="2">
      <c r="A2" s="693"/>
      <c r="B2" s="693"/>
      <c r="C2" s="693"/>
      <c r="D2" s="693"/>
      <c r="E2" s="694"/>
      <c r="F2" s="387"/>
      <c r="G2" s="387"/>
      <c r="H2" s="387"/>
      <c r="I2" s="387"/>
      <c r="J2" s="387"/>
      <c r="K2" s="387"/>
      <c r="L2" s="387"/>
      <c r="M2" s="387"/>
      <c r="N2" s="387"/>
      <c r="O2" s="387"/>
      <c r="P2" s="387"/>
      <c r="Q2" s="387"/>
      <c r="R2" s="387"/>
      <c r="S2" s="387"/>
      <c r="T2" s="387"/>
      <c r="U2" s="387"/>
      <c r="V2" s="387"/>
      <c r="W2" s="387"/>
      <c r="X2" s="387"/>
      <c r="Y2" s="387"/>
      <c r="Z2" s="387"/>
    </row>
    <row r="3">
      <c r="A3" s="693"/>
      <c r="B3" s="693"/>
      <c r="C3" s="693"/>
      <c r="D3" s="693"/>
      <c r="E3" s="694"/>
      <c r="F3" s="387"/>
      <c r="G3" s="387"/>
      <c r="H3" s="387"/>
      <c r="I3" s="387"/>
      <c r="J3" s="387"/>
      <c r="K3" s="387"/>
      <c r="L3" s="387"/>
      <c r="M3" s="387"/>
      <c r="N3" s="387"/>
      <c r="O3" s="387"/>
      <c r="P3" s="387"/>
      <c r="Q3" s="387"/>
      <c r="R3" s="387"/>
      <c r="S3" s="387"/>
      <c r="T3" s="387"/>
      <c r="U3" s="387"/>
      <c r="V3" s="387"/>
      <c r="W3" s="387"/>
      <c r="X3" s="387"/>
      <c r="Y3" s="387"/>
      <c r="Z3" s="387"/>
    </row>
    <row r="4">
      <c r="A4" s="693"/>
      <c r="B4" s="693"/>
      <c r="C4" s="693"/>
      <c r="D4" s="693"/>
      <c r="E4" s="694"/>
      <c r="F4" s="387"/>
      <c r="G4" s="387"/>
      <c r="H4" s="387"/>
      <c r="I4" s="387"/>
      <c r="J4" s="387"/>
      <c r="K4" s="387"/>
      <c r="L4" s="695"/>
      <c r="M4" s="387"/>
      <c r="N4" s="387"/>
      <c r="O4" s="387"/>
      <c r="P4" s="387"/>
      <c r="Q4" s="387"/>
      <c r="R4" s="387"/>
      <c r="S4" s="387"/>
      <c r="T4" s="387"/>
      <c r="U4" s="387"/>
      <c r="V4" s="387"/>
      <c r="W4" s="387"/>
      <c r="X4" s="387"/>
      <c r="Y4" s="387"/>
      <c r="Z4" s="387"/>
    </row>
    <row r="5">
      <c r="A5" s="693"/>
      <c r="B5" s="693"/>
      <c r="C5" s="693"/>
      <c r="D5" s="693"/>
      <c r="E5" s="694"/>
      <c r="F5" s="387"/>
      <c r="G5" s="387"/>
      <c r="H5" s="387"/>
      <c r="I5" s="387"/>
      <c r="J5" s="387"/>
      <c r="K5" s="387"/>
      <c r="L5" s="695"/>
      <c r="M5" s="387"/>
      <c r="N5" s="387"/>
      <c r="O5" s="387"/>
      <c r="P5" s="387"/>
      <c r="Q5" s="387"/>
      <c r="R5" s="387"/>
      <c r="S5" s="387"/>
      <c r="T5" s="387"/>
      <c r="U5" s="387"/>
      <c r="V5" s="387"/>
      <c r="W5" s="387"/>
      <c r="X5" s="387"/>
      <c r="Y5" s="387"/>
      <c r="Z5" s="387"/>
    </row>
    <row r="6">
      <c r="A6" s="693"/>
      <c r="B6" s="693"/>
      <c r="C6" s="693"/>
      <c r="D6" s="693"/>
      <c r="E6" s="694"/>
      <c r="F6" s="387"/>
      <c r="G6" s="387"/>
      <c r="H6" s="387"/>
      <c r="I6" s="387"/>
      <c r="J6" s="387"/>
      <c r="K6" s="387"/>
      <c r="L6" s="695"/>
      <c r="M6" s="387"/>
      <c r="N6" s="387"/>
      <c r="O6" s="387"/>
      <c r="P6" s="387"/>
      <c r="Q6" s="387"/>
      <c r="R6" s="387"/>
      <c r="S6" s="387"/>
      <c r="T6" s="387"/>
      <c r="U6" s="387"/>
      <c r="V6" s="387"/>
      <c r="W6" s="387"/>
      <c r="X6" s="387"/>
      <c r="Y6" s="387"/>
      <c r="Z6" s="387"/>
    </row>
    <row r="7">
      <c r="A7" s="693"/>
      <c r="B7" s="693"/>
      <c r="C7" s="693"/>
      <c r="D7" s="693"/>
      <c r="E7" s="694"/>
      <c r="F7" s="387"/>
      <c r="G7" s="387"/>
      <c r="H7" s="387"/>
      <c r="I7" s="387"/>
      <c r="J7" s="387"/>
      <c r="K7" s="387"/>
      <c r="L7" s="695"/>
      <c r="M7" s="387"/>
      <c r="N7" s="387"/>
      <c r="O7" s="387"/>
      <c r="P7" s="387"/>
      <c r="Q7" s="387"/>
      <c r="R7" s="387"/>
      <c r="S7" s="387"/>
      <c r="T7" s="387"/>
      <c r="U7" s="387"/>
      <c r="V7" s="387"/>
      <c r="W7" s="387"/>
      <c r="X7" s="387"/>
      <c r="Y7" s="387"/>
      <c r="Z7" s="387"/>
    </row>
    <row r="8">
      <c r="A8" s="693"/>
      <c r="B8" s="693"/>
      <c r="C8" s="693"/>
      <c r="D8" s="693"/>
      <c r="E8" s="694"/>
      <c r="F8" s="387"/>
      <c r="G8" s="387"/>
      <c r="H8" s="387"/>
      <c r="I8" s="387"/>
      <c r="J8" s="387"/>
      <c r="K8" s="387"/>
      <c r="L8" s="695"/>
      <c r="M8" s="387"/>
      <c r="N8" s="387"/>
      <c r="O8" s="387"/>
      <c r="P8" s="387"/>
      <c r="Q8" s="387"/>
      <c r="R8" s="387"/>
      <c r="S8" s="387"/>
      <c r="T8" s="387"/>
      <c r="U8" s="387"/>
      <c r="V8" s="387"/>
      <c r="W8" s="387"/>
      <c r="X8" s="387"/>
      <c r="Y8" s="387"/>
      <c r="Z8" s="387"/>
    </row>
    <row r="9">
      <c r="A9" s="696" t="s">
        <v>119</v>
      </c>
      <c r="B9" s="27"/>
      <c r="C9" s="27"/>
      <c r="D9" s="27"/>
      <c r="E9" s="27"/>
      <c r="F9" s="28"/>
      <c r="G9" s="387"/>
      <c r="H9" s="387"/>
      <c r="I9" s="387"/>
      <c r="J9" s="387"/>
      <c r="K9" s="387"/>
      <c r="L9" s="695"/>
      <c r="M9" s="387"/>
      <c r="N9" s="387"/>
      <c r="O9" s="387"/>
      <c r="P9" s="387"/>
      <c r="Q9" s="387"/>
      <c r="R9" s="387"/>
      <c r="S9" s="387"/>
      <c r="T9" s="387"/>
      <c r="U9" s="387"/>
      <c r="V9" s="387"/>
      <c r="W9" s="387"/>
      <c r="X9" s="387"/>
      <c r="Y9" s="387"/>
      <c r="Z9" s="387"/>
    </row>
    <row r="10">
      <c r="A10" s="697" t="str">
        <f>HYPERLINK("https://goo.gl/forms/3ibooB993Hi7SS2d2","PRESS TO RECORD BODY WEIGHT")</f>
        <v>PRESS TO RECORD BODY WEIGHT</v>
      </c>
      <c r="B10" s="16"/>
      <c r="C10" s="16"/>
      <c r="D10" s="16"/>
      <c r="E10" s="16"/>
      <c r="F10" s="17"/>
      <c r="G10" s="387"/>
      <c r="H10" s="387"/>
      <c r="I10" s="387"/>
      <c r="J10" s="387"/>
      <c r="K10" s="387"/>
      <c r="L10" s="695"/>
      <c r="M10" s="387"/>
      <c r="N10" s="387"/>
      <c r="O10" s="387"/>
      <c r="P10" s="387"/>
      <c r="Q10" s="387"/>
      <c r="R10" s="387"/>
      <c r="S10" s="387"/>
      <c r="T10" s="387"/>
      <c r="U10" s="387"/>
      <c r="V10" s="387"/>
      <c r="W10" s="387"/>
      <c r="X10" s="387"/>
      <c r="Y10" s="387"/>
      <c r="Z10" s="387"/>
    </row>
    <row r="11">
      <c r="A11" s="303"/>
      <c r="B11" s="2"/>
      <c r="C11" s="2"/>
      <c r="D11" s="2"/>
      <c r="E11" s="2"/>
      <c r="F11" s="37"/>
      <c r="G11" s="387"/>
      <c r="H11" s="387"/>
      <c r="I11" s="387"/>
      <c r="J11" s="387"/>
      <c r="K11" s="387"/>
      <c r="L11" s="695"/>
      <c r="M11" s="387"/>
      <c r="N11" s="387"/>
      <c r="O11" s="387"/>
      <c r="P11" s="387"/>
      <c r="Q11" s="387"/>
      <c r="R11" s="387"/>
      <c r="S11" s="387"/>
      <c r="T11" s="387"/>
      <c r="U11" s="387"/>
      <c r="V11" s="387"/>
      <c r="W11" s="387"/>
      <c r="X11" s="387"/>
      <c r="Y11" s="387"/>
      <c r="Z11" s="387"/>
    </row>
    <row r="12" ht="32.25" customHeight="1">
      <c r="A12" s="698" t="s">
        <v>37</v>
      </c>
      <c r="B12" s="27"/>
      <c r="C12" s="27"/>
      <c r="D12" s="27"/>
      <c r="E12" s="27"/>
      <c r="F12" s="28"/>
      <c r="G12" s="387"/>
      <c r="H12" s="387"/>
      <c r="I12" s="387"/>
      <c r="J12" s="387"/>
      <c r="K12" s="387"/>
      <c r="L12" s="695"/>
      <c r="M12" s="387"/>
      <c r="N12" s="387"/>
      <c r="O12" s="387"/>
      <c r="P12" s="387"/>
      <c r="Q12" s="387"/>
      <c r="R12" s="387"/>
      <c r="S12" s="387"/>
      <c r="T12" s="387"/>
      <c r="U12" s="387"/>
      <c r="V12" s="387"/>
      <c r="W12" s="387"/>
      <c r="X12" s="387"/>
      <c r="Y12" s="387"/>
      <c r="Z12" s="387"/>
    </row>
    <row r="13">
      <c r="A13" s="699" t="s">
        <v>120</v>
      </c>
      <c r="B13" s="27"/>
      <c r="C13" s="27"/>
      <c r="D13" s="27"/>
      <c r="E13" s="27"/>
      <c r="F13" s="28"/>
      <c r="G13" s="387"/>
      <c r="H13" s="387"/>
      <c r="I13" s="387"/>
      <c r="J13" s="387"/>
      <c r="K13" s="387"/>
      <c r="L13" s="695"/>
      <c r="M13" s="387"/>
      <c r="N13" s="387"/>
      <c r="O13" s="387"/>
      <c r="P13" s="387"/>
      <c r="Q13" s="387"/>
      <c r="R13" s="387"/>
      <c r="S13" s="387"/>
      <c r="T13" s="387"/>
      <c r="U13" s="387"/>
      <c r="V13" s="387"/>
      <c r="W13" s="387"/>
      <c r="X13" s="387"/>
      <c r="Y13" s="387"/>
      <c r="Z13" s="387"/>
    </row>
    <row r="14">
      <c r="A14" s="628"/>
      <c r="B14" s="628"/>
      <c r="C14" s="628"/>
      <c r="D14" s="628"/>
      <c r="E14" s="629"/>
      <c r="F14" s="108"/>
      <c r="G14" s="387"/>
      <c r="H14" s="387"/>
      <c r="I14" s="387"/>
      <c r="J14" s="387"/>
      <c r="K14" s="387"/>
      <c r="L14" s="695"/>
      <c r="M14" s="387"/>
      <c r="N14" s="387"/>
      <c r="O14" s="387"/>
      <c r="P14" s="387"/>
      <c r="Q14" s="387"/>
      <c r="R14" s="387"/>
      <c r="S14" s="387"/>
      <c r="T14" s="387"/>
      <c r="U14" s="387"/>
      <c r="V14" s="387"/>
      <c r="W14" s="387"/>
      <c r="X14" s="387"/>
      <c r="Y14" s="387"/>
      <c r="Z14" s="387"/>
    </row>
    <row r="15">
      <c r="A15" s="41" t="s">
        <v>15</v>
      </c>
      <c r="B15" s="27"/>
      <c r="C15" s="27"/>
      <c r="D15" s="27"/>
      <c r="E15" s="27"/>
      <c r="F15" s="28"/>
      <c r="G15" s="700"/>
      <c r="H15" s="397" t="s">
        <v>85</v>
      </c>
      <c r="I15" s="27"/>
      <c r="J15" s="27"/>
      <c r="K15" s="27"/>
      <c r="L15" s="27"/>
      <c r="M15" s="28"/>
      <c r="N15" s="387"/>
      <c r="O15" s="397" t="s">
        <v>85</v>
      </c>
      <c r="P15" s="27"/>
      <c r="Q15" s="27"/>
      <c r="R15" s="27"/>
      <c r="S15" s="27"/>
      <c r="T15" s="28"/>
      <c r="U15" s="387"/>
      <c r="V15" s="387"/>
      <c r="W15" s="387"/>
      <c r="X15" s="387"/>
      <c r="Y15" s="387"/>
      <c r="Z15" s="387"/>
    </row>
    <row r="16">
      <c r="A16" s="632"/>
      <c r="B16" s="632"/>
      <c r="C16" s="632"/>
      <c r="D16" s="632"/>
      <c r="E16" s="632"/>
      <c r="F16" s="632"/>
      <c r="G16" s="700"/>
      <c r="H16" s="632"/>
      <c r="I16" s="632"/>
      <c r="J16" s="632"/>
      <c r="K16" s="632"/>
      <c r="L16" s="632"/>
      <c r="M16" s="632"/>
      <c r="N16" s="387"/>
      <c r="O16" s="387"/>
      <c r="P16" s="387"/>
      <c r="Q16" s="387"/>
      <c r="R16" s="387"/>
      <c r="S16" s="387"/>
      <c r="T16" s="387"/>
      <c r="U16" s="387"/>
      <c r="V16" s="387"/>
      <c r="W16" s="387"/>
      <c r="X16" s="387"/>
      <c r="Y16" s="387"/>
      <c r="Z16" s="387"/>
    </row>
    <row r="17">
      <c r="A17" s="632"/>
      <c r="B17" s="632"/>
      <c r="C17" s="632"/>
      <c r="D17" s="632"/>
      <c r="E17" s="632"/>
      <c r="F17" s="632"/>
      <c r="G17" s="700"/>
      <c r="H17" s="632"/>
      <c r="I17" s="632"/>
      <c r="J17" s="632"/>
      <c r="K17" s="632"/>
      <c r="L17" s="632"/>
      <c r="M17" s="632"/>
      <c r="N17" s="387"/>
      <c r="O17" s="387"/>
      <c r="P17" s="387"/>
      <c r="Q17" s="387"/>
      <c r="R17" s="387"/>
      <c r="S17" s="387"/>
      <c r="T17" s="387"/>
      <c r="U17" s="387"/>
      <c r="V17" s="387"/>
      <c r="W17" s="387"/>
      <c r="X17" s="387"/>
      <c r="Y17" s="387"/>
      <c r="Z17" s="387"/>
    </row>
    <row r="18">
      <c r="A18" s="42" t="s">
        <v>16</v>
      </c>
      <c r="B18" s="27"/>
      <c r="C18" s="27"/>
      <c r="D18" s="27"/>
      <c r="E18" s="27"/>
      <c r="F18" s="28"/>
      <c r="G18" s="700"/>
      <c r="H18" s="42" t="s">
        <v>16</v>
      </c>
      <c r="I18" s="27"/>
      <c r="J18" s="27"/>
      <c r="K18" s="27"/>
      <c r="L18" s="27"/>
      <c r="M18" s="28"/>
      <c r="N18" s="387"/>
      <c r="O18" s="42" t="s">
        <v>16</v>
      </c>
      <c r="P18" s="27"/>
      <c r="Q18" s="27"/>
      <c r="R18" s="27"/>
      <c r="S18" s="27"/>
      <c r="T18" s="28"/>
      <c r="U18" s="387"/>
      <c r="V18" s="387"/>
      <c r="W18" s="387"/>
      <c r="X18" s="387"/>
      <c r="Y18" s="387"/>
      <c r="Z18" s="387"/>
    </row>
    <row r="19">
      <c r="A19" s="84" t="str">
        <f>HYPERLINK("https://youtu.be/iLgUDezDMbU","1. BENCH PRESS")</f>
        <v>1. BENCH PRESS</v>
      </c>
      <c r="B19" s="44"/>
      <c r="C19" s="44"/>
      <c r="D19" s="44"/>
      <c r="E19" s="44"/>
      <c r="F19" s="45"/>
      <c r="G19" s="700"/>
      <c r="H19" s="84" t="str">
        <f>HYPERLINK("https://youtu.be/75e_H9Vq_Lw","1. MACHINE PRESS")</f>
        <v>1. MACHINE PRESS</v>
      </c>
      <c r="I19" s="44"/>
      <c r="J19" s="44"/>
      <c r="K19" s="44"/>
      <c r="L19" s="44"/>
      <c r="M19" s="45"/>
      <c r="N19" s="387"/>
      <c r="O19" s="66" t="str">
        <f>HYPERLINK("https://youtu.be/4fTS4jsJ-48","1. DUMBBELL INCLINE PRESS")</f>
        <v>1. DUMBBELL INCLINE PRESS</v>
      </c>
      <c r="P19" s="44"/>
      <c r="Q19" s="44"/>
      <c r="R19" s="44"/>
      <c r="S19" s="44"/>
      <c r="T19" s="45"/>
      <c r="U19" s="387"/>
      <c r="V19" s="387"/>
      <c r="W19" s="387"/>
      <c r="X19" s="387"/>
      <c r="Y19" s="387"/>
      <c r="Z19" s="387"/>
    </row>
    <row r="20">
      <c r="A20" s="193" t="s">
        <v>86</v>
      </c>
      <c r="B20" s="669" t="str">
        <f>'WEEK 1 '!B32</f>
        <v>#REF!</v>
      </c>
      <c r="C20" s="4"/>
      <c r="D20" s="4"/>
      <c r="E20" s="4"/>
      <c r="F20" s="48"/>
      <c r="G20" s="700"/>
      <c r="H20" s="193" t="s">
        <v>86</v>
      </c>
      <c r="I20" s="669" t="str">
        <f>'WEEK 2'!I34</f>
        <v>#REF!</v>
      </c>
      <c r="J20" s="4"/>
      <c r="K20" s="4"/>
      <c r="L20" s="4"/>
      <c r="M20" s="48"/>
      <c r="N20" s="387"/>
      <c r="O20" s="193" t="s">
        <v>86</v>
      </c>
      <c r="P20" s="669" t="str">
        <f>if('WEEK 2'!B34="",'WEEK 2'!B21,'WEEK 2'!B34)</f>
        <v>#REF!</v>
      </c>
      <c r="Q20" s="4"/>
      <c r="R20" s="4"/>
      <c r="S20" s="4"/>
      <c r="T20" s="48"/>
      <c r="U20" s="387"/>
      <c r="V20" s="387"/>
      <c r="W20" s="387"/>
      <c r="X20" s="387"/>
      <c r="Y20" s="387"/>
      <c r="Z20" s="387"/>
    </row>
    <row r="21">
      <c r="A21" s="87" t="s">
        <v>18</v>
      </c>
      <c r="B21" s="88" t="s">
        <v>19</v>
      </c>
      <c r="C21" s="88" t="s">
        <v>20</v>
      </c>
      <c r="D21" s="88" t="s">
        <v>21</v>
      </c>
      <c r="E21" s="308" t="s">
        <v>22</v>
      </c>
      <c r="F21" s="202" t="s">
        <v>23</v>
      </c>
      <c r="G21" s="701"/>
      <c r="H21" s="87" t="s">
        <v>18</v>
      </c>
      <c r="I21" s="88" t="s">
        <v>19</v>
      </c>
      <c r="J21" s="88" t="s">
        <v>20</v>
      </c>
      <c r="K21" s="88" t="s">
        <v>21</v>
      </c>
      <c r="L21" s="308" t="s">
        <v>22</v>
      </c>
      <c r="M21" s="202" t="s">
        <v>23</v>
      </c>
      <c r="N21" s="702"/>
      <c r="O21" s="87" t="s">
        <v>18</v>
      </c>
      <c r="P21" s="88" t="s">
        <v>19</v>
      </c>
      <c r="Q21" s="88" t="s">
        <v>20</v>
      </c>
      <c r="R21" s="88" t="s">
        <v>21</v>
      </c>
      <c r="S21" s="308" t="s">
        <v>22</v>
      </c>
      <c r="T21" s="202" t="s">
        <v>23</v>
      </c>
      <c r="U21" s="702"/>
      <c r="V21" s="702"/>
      <c r="W21" s="702"/>
      <c r="X21" s="702"/>
      <c r="Y21" s="702"/>
      <c r="Z21" s="702"/>
    </row>
    <row r="22">
      <c r="A22" s="703">
        <v>1.0</v>
      </c>
      <c r="B22" s="704" t="str">
        <f>IF( 'WEEK 3 '!B20&lt;125,45, mround('WEEK 3 '!B20*0.9*0.35,5))</f>
        <v>#REF!</v>
      </c>
      <c r="C22" s="311">
        <v>6.0</v>
      </c>
      <c r="D22" s="310" t="s">
        <v>121</v>
      </c>
      <c r="E22" s="705"/>
      <c r="F22" s="76"/>
      <c r="G22" s="391"/>
      <c r="H22" s="703">
        <v>1.0</v>
      </c>
      <c r="I22" s="311" t="str">
        <f>mround('WEEK 3 '!I20*0.9*0.35,5)</f>
        <v>#REF!</v>
      </c>
      <c r="J22" s="311">
        <v>6.0</v>
      </c>
      <c r="K22" s="310" t="s">
        <v>121</v>
      </c>
      <c r="L22" s="705"/>
      <c r="M22" s="76"/>
      <c r="N22" s="706"/>
      <c r="O22" s="703">
        <v>1.0</v>
      </c>
      <c r="P22" s="311" t="str">
        <f>mround('WEEK 3 '!P20*0.9*0.35,5)</f>
        <v>#REF!</v>
      </c>
      <c r="Q22" s="311">
        <v>6.0</v>
      </c>
      <c r="R22" s="310" t="s">
        <v>121</v>
      </c>
      <c r="S22" s="705"/>
      <c r="T22" s="76"/>
      <c r="U22" s="706"/>
      <c r="V22" s="706"/>
      <c r="W22" s="706"/>
      <c r="X22" s="706"/>
      <c r="Y22" s="706"/>
      <c r="Z22" s="706"/>
    </row>
    <row r="23">
      <c r="A23" s="703">
        <v>2.0</v>
      </c>
      <c r="B23" s="707" t="str">
        <f>IF( 'WEEK 3 '!B20&lt;70,MROUND('WEEK 3 '!B20*0.78,5),MROUND('WEEK 3 '!B20*0.9*0.72,5))</f>
        <v>#REF!</v>
      </c>
      <c r="C23" s="311">
        <v>1.0</v>
      </c>
      <c r="D23" s="310" t="s">
        <v>122</v>
      </c>
      <c r="E23" s="705"/>
      <c r="F23" s="76"/>
      <c r="G23" s="391"/>
      <c r="H23" s="703">
        <v>2.0</v>
      </c>
      <c r="I23" s="311" t="str">
        <f>mround('WEEK 3 '!I20*0.9*0.72,5)</f>
        <v>#REF!</v>
      </c>
      <c r="J23" s="311">
        <v>1.0</v>
      </c>
      <c r="K23" s="310" t="s">
        <v>122</v>
      </c>
      <c r="L23" s="705"/>
      <c r="M23" s="76"/>
      <c r="N23" s="706"/>
      <c r="O23" s="703">
        <v>2.0</v>
      </c>
      <c r="P23" s="311" t="str">
        <f>mround('WEEK 3 '!P20*0.9*0.72,5)</f>
        <v>#REF!</v>
      </c>
      <c r="Q23" s="311">
        <v>1.0</v>
      </c>
      <c r="R23" s="310" t="s">
        <v>122</v>
      </c>
      <c r="S23" s="705"/>
      <c r="T23" s="76"/>
      <c r="U23" s="706"/>
      <c r="V23" s="706"/>
      <c r="W23" s="706"/>
      <c r="X23" s="706"/>
      <c r="Y23" s="706"/>
      <c r="Z23" s="706"/>
    </row>
    <row r="24">
      <c r="A24" s="703">
        <v>3.0</v>
      </c>
      <c r="B24" s="311" t="str">
        <f>mround('WEEK 3 '!B20*0.9*0.9,5)</f>
        <v>#REF!</v>
      </c>
      <c r="C24" s="311">
        <v>1.0</v>
      </c>
      <c r="D24" s="310" t="s">
        <v>25</v>
      </c>
      <c r="E24" s="705"/>
      <c r="F24" s="76"/>
      <c r="G24" s="391"/>
      <c r="H24" s="703">
        <v>3.0</v>
      </c>
      <c r="I24" s="311" t="str">
        <f>mround('WEEK 3 '!I20*0.9*0.9,5)</f>
        <v>#REF!</v>
      </c>
      <c r="J24" s="311">
        <v>1.0</v>
      </c>
      <c r="K24" s="310" t="s">
        <v>25</v>
      </c>
      <c r="L24" s="705"/>
      <c r="M24" s="76"/>
      <c r="N24" s="706"/>
      <c r="O24" s="703">
        <v>3.0</v>
      </c>
      <c r="P24" s="311" t="str">
        <f>mround('WEEK 3 '!P20*0.9*0.9,5)</f>
        <v>#REF!</v>
      </c>
      <c r="Q24" s="311">
        <v>1.0</v>
      </c>
      <c r="R24" s="310" t="s">
        <v>25</v>
      </c>
      <c r="S24" s="705"/>
      <c r="T24" s="76"/>
      <c r="U24" s="706"/>
      <c r="V24" s="706"/>
      <c r="W24" s="706"/>
      <c r="X24" s="706"/>
      <c r="Y24" s="706"/>
      <c r="Z24" s="706"/>
    </row>
    <row r="25">
      <c r="A25" s="708" t="s">
        <v>123</v>
      </c>
      <c r="B25" s="4"/>
      <c r="C25" s="4"/>
      <c r="D25" s="4"/>
      <c r="E25" s="4"/>
      <c r="F25" s="48"/>
      <c r="G25" s="709" t="s">
        <v>90</v>
      </c>
      <c r="H25" s="708" t="s">
        <v>123</v>
      </c>
      <c r="I25" s="4"/>
      <c r="J25" s="4"/>
      <c r="K25" s="4"/>
      <c r="L25" s="4"/>
      <c r="M25" s="48"/>
      <c r="N25" s="387"/>
      <c r="O25" s="708" t="s">
        <v>123</v>
      </c>
      <c r="P25" s="4"/>
      <c r="Q25" s="4"/>
      <c r="R25" s="4"/>
      <c r="S25" s="4"/>
      <c r="T25" s="48"/>
      <c r="U25" s="387"/>
      <c r="V25" s="387"/>
      <c r="W25" s="387"/>
      <c r="X25" s="387"/>
      <c r="Y25" s="387"/>
      <c r="Z25" s="387"/>
    </row>
    <row r="26">
      <c r="A26" s="87" t="s">
        <v>18</v>
      </c>
      <c r="B26" s="88" t="s">
        <v>19</v>
      </c>
      <c r="C26" s="88" t="s">
        <v>20</v>
      </c>
      <c r="D26" s="88" t="s">
        <v>21</v>
      </c>
      <c r="E26" s="308" t="s">
        <v>22</v>
      </c>
      <c r="F26" s="202" t="s">
        <v>23</v>
      </c>
      <c r="H26" s="87" t="s">
        <v>18</v>
      </c>
      <c r="I26" s="88" t="s">
        <v>19</v>
      </c>
      <c r="J26" s="88" t="s">
        <v>20</v>
      </c>
      <c r="K26" s="88" t="s">
        <v>21</v>
      </c>
      <c r="L26" s="308" t="s">
        <v>22</v>
      </c>
      <c r="M26" s="202" t="s">
        <v>23</v>
      </c>
      <c r="N26" s="702"/>
      <c r="O26" s="87" t="s">
        <v>18</v>
      </c>
      <c r="P26" s="88" t="s">
        <v>19</v>
      </c>
      <c r="Q26" s="88" t="s">
        <v>20</v>
      </c>
      <c r="R26" s="88" t="s">
        <v>21</v>
      </c>
      <c r="S26" s="308" t="s">
        <v>22</v>
      </c>
      <c r="T26" s="202" t="s">
        <v>23</v>
      </c>
      <c r="U26" s="702"/>
      <c r="V26" s="702"/>
      <c r="W26" s="702"/>
      <c r="X26" s="702"/>
      <c r="Y26" s="702"/>
      <c r="Z26" s="702"/>
    </row>
    <row r="27">
      <c r="A27" s="309">
        <v>1.0</v>
      </c>
      <c r="B27" s="315" t="str">
        <f>mround('WEEK 3 '!B20*1*0.9,5)</f>
        <v>#REF!</v>
      </c>
      <c r="C27" s="408" t="s">
        <v>33</v>
      </c>
      <c r="D27" s="310" t="s">
        <v>89</v>
      </c>
      <c r="E27" s="705"/>
      <c r="F27" s="76"/>
      <c r="G27" s="391"/>
      <c r="H27" s="703">
        <v>1.0</v>
      </c>
      <c r="I27" s="315" t="str">
        <f>mround('WEEK 3 '!I20*1*0.9,5)</f>
        <v>#REF!</v>
      </c>
      <c r="J27" s="408" t="s">
        <v>33</v>
      </c>
      <c r="K27" s="310" t="s">
        <v>89</v>
      </c>
      <c r="L27" s="705"/>
      <c r="M27" s="76"/>
      <c r="N27" s="706"/>
      <c r="O27" s="703">
        <v>1.0</v>
      </c>
      <c r="P27" s="315" t="str">
        <f>mround('WEEK 3 '!P20*1*0.9,5)</f>
        <v>#REF!</v>
      </c>
      <c r="Q27" s="408" t="s">
        <v>33</v>
      </c>
      <c r="R27" s="310" t="s">
        <v>89</v>
      </c>
      <c r="S27" s="705"/>
      <c r="T27" s="76"/>
      <c r="U27" s="706"/>
      <c r="V27" s="706"/>
      <c r="W27" s="706"/>
      <c r="X27" s="706"/>
      <c r="Y27" s="706"/>
      <c r="Z27" s="706"/>
    </row>
    <row r="28">
      <c r="A28" s="703">
        <v>2.0</v>
      </c>
      <c r="B28" s="315" t="str">
        <f t="shared" ref="B28:B29" si="1">IF('WEEK 3 '!F27&lt;3,MROUND('WEEK 3 '!B27*0.75,5),IF('WEEK 3 '!F27&lt;6,MROUND('WEEK 3 '!B27*0.85,5),mround('WEEK 3 '!B27*0.9,5)))</f>
        <v>#REF!</v>
      </c>
      <c r="C28" s="408" t="s">
        <v>33</v>
      </c>
      <c r="D28" s="310" t="s">
        <v>89</v>
      </c>
      <c r="E28" s="705"/>
      <c r="F28" s="76"/>
      <c r="G28" s="700"/>
      <c r="H28" s="703">
        <v>2.0</v>
      </c>
      <c r="I28" s="315" t="str">
        <f t="shared" ref="I28:I29" si="2">IF('WEEK 3 '!M27&lt;3,MROUND('WEEK 3 '!I27*0.75,5),IF('WEEK 3 '!M27&lt;6,MROUND('WEEK 3 '!I27*0.85,5),mround('WEEK 3 '!I27*0.9,5)))</f>
        <v>#REF!</v>
      </c>
      <c r="J28" s="408" t="s">
        <v>33</v>
      </c>
      <c r="K28" s="310" t="s">
        <v>89</v>
      </c>
      <c r="L28" s="705"/>
      <c r="M28" s="76"/>
      <c r="N28" s="387"/>
      <c r="O28" s="703">
        <v>2.0</v>
      </c>
      <c r="P28" s="315" t="str">
        <f t="shared" ref="P28:P29" si="3">IF('WEEK 3 '!T27&lt;3,MROUND('WEEK 3 '!P27*0.75,5),IF('WEEK 3 '!T27&lt;6,MROUND('WEEK 3 '!P27*0.85,5),mround('WEEK 3 '!P27*0.9,5)))</f>
        <v>#REF!</v>
      </c>
      <c r="Q28" s="408" t="s">
        <v>33</v>
      </c>
      <c r="R28" s="310" t="s">
        <v>89</v>
      </c>
      <c r="S28" s="705"/>
      <c r="T28" s="76"/>
      <c r="U28" s="387"/>
      <c r="V28" s="387"/>
      <c r="W28" s="387"/>
      <c r="X28" s="387"/>
      <c r="Y28" s="387"/>
      <c r="Z28" s="387"/>
    </row>
    <row r="29">
      <c r="A29" s="456">
        <v>3.0</v>
      </c>
      <c r="B29" s="710" t="str">
        <f t="shared" si="1"/>
        <v>#REF!</v>
      </c>
      <c r="C29" s="711" t="s">
        <v>33</v>
      </c>
      <c r="D29" s="457" t="s">
        <v>89</v>
      </c>
      <c r="E29" s="712"/>
      <c r="F29" s="76"/>
      <c r="G29" s="700"/>
      <c r="H29" s="713">
        <v>3.0</v>
      </c>
      <c r="I29" s="714" t="str">
        <f t="shared" si="2"/>
        <v>#REF!</v>
      </c>
      <c r="J29" s="715" t="s">
        <v>33</v>
      </c>
      <c r="K29" s="716" t="s">
        <v>89</v>
      </c>
      <c r="L29" s="717"/>
      <c r="M29" s="297"/>
      <c r="N29" s="387"/>
      <c r="O29" s="456">
        <v>3.0</v>
      </c>
      <c r="P29" s="710" t="str">
        <f t="shared" si="3"/>
        <v>#REF!</v>
      </c>
      <c r="Q29" s="711" t="s">
        <v>33</v>
      </c>
      <c r="R29" s="457" t="s">
        <v>89</v>
      </c>
      <c r="S29" s="712"/>
      <c r="T29" s="76"/>
      <c r="U29" s="387"/>
      <c r="V29" s="387"/>
      <c r="W29" s="387"/>
      <c r="X29" s="387"/>
      <c r="Y29" s="387"/>
      <c r="Z29" s="387"/>
    </row>
    <row r="30">
      <c r="A30" s="718"/>
      <c r="B30" s="718"/>
      <c r="C30" s="718"/>
      <c r="D30" s="718"/>
      <c r="E30" s="719"/>
      <c r="F30" s="387"/>
      <c r="G30" s="700"/>
      <c r="H30" s="720"/>
      <c r="I30" s="720"/>
      <c r="J30" s="720"/>
      <c r="K30" s="720"/>
      <c r="L30" s="720"/>
      <c r="M30" s="720"/>
      <c r="N30" s="387"/>
      <c r="O30" s="387"/>
      <c r="P30" s="387"/>
      <c r="Q30" s="387"/>
      <c r="R30" s="387"/>
      <c r="S30" s="387"/>
      <c r="T30" s="387"/>
      <c r="U30" s="387"/>
      <c r="V30" s="387"/>
      <c r="W30" s="387"/>
      <c r="X30" s="387"/>
      <c r="Y30" s="387"/>
      <c r="Z30" s="387"/>
    </row>
    <row r="31">
      <c r="A31" s="718"/>
      <c r="B31" s="718"/>
      <c r="C31" s="718"/>
      <c r="D31" s="718"/>
      <c r="E31" s="719"/>
      <c r="F31" s="387"/>
      <c r="G31" s="387"/>
      <c r="H31" s="632"/>
      <c r="I31" s="632"/>
      <c r="J31" s="632"/>
      <c r="K31" s="632"/>
      <c r="L31" s="632"/>
      <c r="M31" s="632"/>
      <c r="N31" s="387"/>
      <c r="O31" s="387"/>
      <c r="P31" s="387"/>
      <c r="Q31" s="387"/>
      <c r="R31" s="387"/>
      <c r="S31" s="387"/>
      <c r="T31" s="387"/>
      <c r="U31" s="387"/>
      <c r="V31" s="387"/>
      <c r="W31" s="387"/>
      <c r="X31" s="387"/>
      <c r="Y31" s="387"/>
      <c r="Z31" s="387"/>
    </row>
    <row r="32">
      <c r="A32" s="634" t="str">
        <f>HYPERLINK("https://www.youtube.com/watch?v=mGv8D2DGyNQ","2. DB CHEST FLY")</f>
        <v>2. DB CHEST FLY</v>
      </c>
      <c r="B32" s="44"/>
      <c r="C32" s="44"/>
      <c r="D32" s="44"/>
      <c r="E32" s="44"/>
      <c r="F32" s="45"/>
      <c r="G32" s="387"/>
      <c r="H32" s="636" t="str">
        <f>HYPERLINK("https://www.youtube.com/watch?v=THb0dhfIu1k","2. MACHINE CHEST FLY")</f>
        <v>2. MACHINE CHEST FLY</v>
      </c>
      <c r="I32" s="44"/>
      <c r="J32" s="44"/>
      <c r="K32" s="44"/>
      <c r="L32" s="44"/>
      <c r="M32" s="45"/>
      <c r="N32" s="387"/>
      <c r="O32" s="387"/>
      <c r="P32" s="387"/>
      <c r="Q32" s="387"/>
      <c r="R32" s="387"/>
      <c r="S32" s="387"/>
      <c r="T32" s="387"/>
      <c r="U32" s="387"/>
      <c r="V32" s="387"/>
      <c r="W32" s="387"/>
      <c r="X32" s="387"/>
      <c r="Y32" s="387"/>
      <c r="Z32" s="387"/>
    </row>
    <row r="33">
      <c r="A33" s="193" t="s">
        <v>124</v>
      </c>
      <c r="B33" s="669" t="str">
        <f>'WEEK 2'!B38</f>
        <v>#REF!</v>
      </c>
      <c r="C33" s="4"/>
      <c r="D33" s="4"/>
      <c r="E33" s="4"/>
      <c r="F33" s="48"/>
      <c r="G33" s="387"/>
      <c r="H33" s="193" t="s">
        <v>124</v>
      </c>
      <c r="I33" s="524" t="str">
        <f>B33</f>
        <v>#REF!</v>
      </c>
      <c r="J33" s="4"/>
      <c r="K33" s="4"/>
      <c r="L33" s="4"/>
      <c r="M33" s="48"/>
      <c r="N33" s="387"/>
      <c r="O33" s="387"/>
      <c r="P33" s="387"/>
      <c r="Q33" s="387"/>
      <c r="R33" s="387"/>
      <c r="S33" s="387"/>
      <c r="T33" s="387"/>
      <c r="U33" s="387"/>
      <c r="V33" s="387"/>
      <c r="W33" s="387"/>
      <c r="X33" s="387"/>
      <c r="Y33" s="387"/>
      <c r="Z33" s="387"/>
    </row>
    <row r="34">
      <c r="A34" s="721" t="s">
        <v>18</v>
      </c>
      <c r="B34" s="722" t="s">
        <v>19</v>
      </c>
      <c r="C34" s="722" t="s">
        <v>20</v>
      </c>
      <c r="D34" s="722" t="s">
        <v>21</v>
      </c>
      <c r="E34" s="723" t="s">
        <v>22</v>
      </c>
      <c r="F34" s="724" t="s">
        <v>23</v>
      </c>
      <c r="G34" s="702"/>
      <c r="H34" s="87" t="s">
        <v>18</v>
      </c>
      <c r="I34" s="88" t="s">
        <v>19</v>
      </c>
      <c r="J34" s="88" t="s">
        <v>20</v>
      </c>
      <c r="K34" s="88" t="s">
        <v>21</v>
      </c>
      <c r="L34" s="308" t="s">
        <v>22</v>
      </c>
      <c r="M34" s="202" t="s">
        <v>23</v>
      </c>
      <c r="N34" s="702"/>
      <c r="O34" s="702"/>
      <c r="P34" s="702"/>
      <c r="Q34" s="702"/>
      <c r="R34" s="702"/>
      <c r="S34" s="702"/>
      <c r="T34" s="702"/>
      <c r="U34" s="702"/>
      <c r="V34" s="702"/>
      <c r="W34" s="702"/>
      <c r="X34" s="702"/>
      <c r="Y34" s="702"/>
      <c r="Z34" s="702"/>
    </row>
    <row r="35">
      <c r="A35" s="703">
        <v>1.0</v>
      </c>
      <c r="B35" s="221" t="str">
        <f>mround('WEEK 3 '!B33*0.29,2.5)</f>
        <v>#REF!</v>
      </c>
      <c r="C35" s="310" t="s">
        <v>29</v>
      </c>
      <c r="D35" s="310" t="s">
        <v>25</v>
      </c>
      <c r="E35" s="705" t="str">
        <f t="shared" ref="E35:E36" si="4">IF('WEEK 1 '!P32='WEEK 2'!B35,'WEEK 1 '!F32,"")</f>
        <v>#REF!</v>
      </c>
      <c r="F35" s="76"/>
      <c r="G35" s="706"/>
      <c r="H35" s="207">
        <v>1.0</v>
      </c>
      <c r="I35" s="221" t="str">
        <f>mround('WEEK 3 '!I33*2*0.75,10)</f>
        <v>#REF!</v>
      </c>
      <c r="J35" s="310" t="s">
        <v>29</v>
      </c>
      <c r="K35" s="74" t="s">
        <v>25</v>
      </c>
      <c r="L35" s="75" t="str">
        <f>IF('WEEK 1 '!W32='WEEK 2'!I35,'WEEK 1 '!M32,"")</f>
        <v>#REF!</v>
      </c>
      <c r="M35" s="76"/>
      <c r="N35" s="706"/>
      <c r="O35" s="706"/>
      <c r="P35" s="706"/>
      <c r="Q35" s="706"/>
      <c r="R35" s="706"/>
      <c r="S35" s="706"/>
      <c r="T35" s="706"/>
      <c r="U35" s="706"/>
      <c r="V35" s="706"/>
      <c r="W35" s="706"/>
      <c r="X35" s="706"/>
      <c r="Y35" s="706"/>
      <c r="Z35" s="706"/>
    </row>
    <row r="36">
      <c r="A36" s="725">
        <v>2.0</v>
      </c>
      <c r="B36" s="639" t="str">
        <f>mround('WEEK 3 '!B33*0.29,2.5)</f>
        <v>#REF!</v>
      </c>
      <c r="C36" s="310" t="s">
        <v>29</v>
      </c>
      <c r="D36" s="457" t="s">
        <v>25</v>
      </c>
      <c r="E36" s="712" t="str">
        <f t="shared" si="4"/>
        <v>#REF!</v>
      </c>
      <c r="F36" s="76"/>
      <c r="G36" s="706"/>
      <c r="H36" s="638">
        <v>2.0</v>
      </c>
      <c r="I36" s="639" t="str">
        <f>mround('WEEK 3 '!I33*2*0.75,10)</f>
        <v>#REF!</v>
      </c>
      <c r="J36" s="310" t="s">
        <v>29</v>
      </c>
      <c r="K36" s="79" t="s">
        <v>25</v>
      </c>
      <c r="L36" s="80"/>
      <c r="M36" s="76"/>
      <c r="N36" s="706"/>
      <c r="O36" s="706"/>
      <c r="P36" s="706"/>
      <c r="Q36" s="706"/>
      <c r="R36" s="706"/>
      <c r="S36" s="706"/>
      <c r="T36" s="706"/>
      <c r="U36" s="706"/>
      <c r="V36" s="706"/>
      <c r="W36" s="706"/>
      <c r="X36" s="706"/>
      <c r="Y36" s="706"/>
      <c r="Z36" s="706"/>
    </row>
    <row r="37">
      <c r="A37" s="387"/>
      <c r="B37" s="387"/>
      <c r="C37" s="387"/>
      <c r="D37" s="387"/>
      <c r="E37" s="695"/>
      <c r="F37" s="387"/>
      <c r="G37" s="387"/>
      <c r="H37" s="387"/>
      <c r="I37" s="387"/>
      <c r="J37" s="387"/>
      <c r="K37" s="387"/>
      <c r="L37" s="695"/>
      <c r="M37" s="387"/>
      <c r="N37" s="387"/>
      <c r="O37" s="387"/>
      <c r="P37" s="387"/>
      <c r="Q37" s="387"/>
      <c r="R37" s="387"/>
      <c r="S37" s="387"/>
      <c r="T37" s="387"/>
      <c r="U37" s="387"/>
      <c r="V37" s="387"/>
      <c r="W37" s="387"/>
      <c r="X37" s="387"/>
      <c r="Y37" s="387"/>
      <c r="Z37" s="387"/>
    </row>
    <row r="38">
      <c r="A38" s="387"/>
      <c r="B38" s="387"/>
      <c r="C38" s="387"/>
      <c r="D38" s="387"/>
      <c r="E38" s="695"/>
      <c r="F38" s="387"/>
      <c r="G38" s="387"/>
      <c r="H38" s="387"/>
      <c r="I38" s="387"/>
      <c r="J38" s="387"/>
      <c r="K38" s="387"/>
      <c r="L38" s="695"/>
      <c r="M38" s="387"/>
      <c r="N38" s="387"/>
      <c r="O38" s="387"/>
      <c r="P38" s="387"/>
      <c r="Q38" s="387"/>
      <c r="R38" s="387"/>
      <c r="S38" s="387"/>
      <c r="T38" s="387"/>
      <c r="U38" s="387"/>
      <c r="V38" s="387"/>
      <c r="W38" s="387"/>
      <c r="X38" s="387"/>
      <c r="Y38" s="387"/>
      <c r="Z38" s="387"/>
    </row>
    <row r="39">
      <c r="A39" s="64" t="str">
        <f>HYPERLINK("https://youtu.be/hMUUvL3FlkE","3. MACHINE HIGH ROW")</f>
        <v>3. MACHINE HIGH ROW</v>
      </c>
      <c r="B39" s="44"/>
      <c r="C39" s="44"/>
      <c r="D39" s="44"/>
      <c r="E39" s="44"/>
      <c r="F39" s="45"/>
      <c r="G39" s="387"/>
      <c r="H39" s="387"/>
      <c r="I39" s="387"/>
      <c r="J39" s="387"/>
      <c r="K39" s="387"/>
      <c r="L39" s="695"/>
      <c r="M39" s="387"/>
      <c r="N39" s="387"/>
      <c r="O39" s="387"/>
      <c r="P39" s="387"/>
      <c r="Q39" s="387"/>
      <c r="R39" s="387"/>
      <c r="S39" s="387"/>
      <c r="T39" s="387"/>
      <c r="U39" s="387"/>
      <c r="V39" s="387"/>
      <c r="W39" s="387"/>
      <c r="X39" s="387"/>
      <c r="Y39" s="387"/>
      <c r="Z39" s="387"/>
    </row>
    <row r="40">
      <c r="A40" s="193" t="s">
        <v>86</v>
      </c>
      <c r="B40" s="194" t="str">
        <f>'WEEK 2'!B60</f>
        <v>#REF!</v>
      </c>
      <c r="C40" s="11"/>
      <c r="D40" s="11"/>
      <c r="E40" s="11"/>
      <c r="F40" s="86"/>
      <c r="G40" s="387"/>
      <c r="H40" s="387"/>
      <c r="I40" s="387"/>
      <c r="J40" s="387"/>
      <c r="K40" s="387"/>
      <c r="L40" s="695"/>
      <c r="M40" s="387"/>
      <c r="N40" s="387"/>
      <c r="O40" s="387"/>
      <c r="P40" s="387"/>
      <c r="Q40" s="387"/>
      <c r="R40" s="387"/>
      <c r="S40" s="387"/>
      <c r="T40" s="387"/>
      <c r="U40" s="387"/>
      <c r="V40" s="387"/>
      <c r="W40" s="387"/>
      <c r="X40" s="387"/>
      <c r="Y40" s="387"/>
      <c r="Z40" s="387"/>
    </row>
    <row r="41">
      <c r="A41" s="198" t="s">
        <v>18</v>
      </c>
      <c r="B41" s="199" t="s">
        <v>19</v>
      </c>
      <c r="C41" s="199" t="s">
        <v>20</v>
      </c>
      <c r="D41" s="199" t="s">
        <v>21</v>
      </c>
      <c r="E41" s="200" t="s">
        <v>22</v>
      </c>
      <c r="F41" s="52" t="s">
        <v>23</v>
      </c>
      <c r="G41" s="702"/>
      <c r="H41" s="702"/>
      <c r="I41" s="702"/>
      <c r="J41" s="702"/>
      <c r="K41" s="702"/>
      <c r="L41" s="726"/>
      <c r="M41" s="702"/>
      <c r="N41" s="702"/>
      <c r="O41" s="702"/>
      <c r="P41" s="702"/>
      <c r="Q41" s="702"/>
      <c r="R41" s="702"/>
      <c r="S41" s="702"/>
      <c r="T41" s="702"/>
      <c r="U41" s="702"/>
      <c r="V41" s="702"/>
      <c r="W41" s="702"/>
      <c r="X41" s="702"/>
      <c r="Y41" s="702"/>
      <c r="Z41" s="702"/>
    </row>
    <row r="42">
      <c r="A42" s="203">
        <v>1.0</v>
      </c>
      <c r="B42" s="204" t="str">
        <f>mround('WEEK 3 '!B40*0.35,5)</f>
        <v>#REF!</v>
      </c>
      <c r="C42" s="204">
        <v>6.0</v>
      </c>
      <c r="D42" s="205" t="s">
        <v>87</v>
      </c>
      <c r="E42" s="57"/>
      <c r="F42" s="58">
        <v>6.0</v>
      </c>
      <c r="G42" s="706"/>
      <c r="H42" s="706"/>
      <c r="I42" s="706"/>
      <c r="J42" s="706"/>
      <c r="K42" s="706"/>
      <c r="L42" s="727"/>
      <c r="M42" s="706"/>
      <c r="N42" s="706"/>
      <c r="O42" s="706"/>
      <c r="P42" s="706"/>
      <c r="Q42" s="706"/>
      <c r="R42" s="706"/>
      <c r="S42" s="706"/>
      <c r="T42" s="706"/>
      <c r="U42" s="706"/>
      <c r="V42" s="706"/>
      <c r="W42" s="706"/>
      <c r="X42" s="706"/>
      <c r="Y42" s="706"/>
      <c r="Z42" s="706"/>
    </row>
    <row r="43">
      <c r="A43" s="203">
        <v>2.0</v>
      </c>
      <c r="B43" s="204" t="str">
        <f>mround('WEEK 3 '!B40*0.65,5)</f>
        <v>#REF!</v>
      </c>
      <c r="C43" s="205">
        <v>3.0</v>
      </c>
      <c r="D43" s="205" t="s">
        <v>88</v>
      </c>
      <c r="E43" s="57"/>
      <c r="F43" s="58">
        <v>3.0</v>
      </c>
      <c r="G43" s="706"/>
      <c r="H43" s="706"/>
      <c r="I43" s="706"/>
      <c r="J43" s="706"/>
      <c r="K43" s="706"/>
      <c r="L43" s="727"/>
      <c r="M43" s="706"/>
      <c r="N43" s="706"/>
      <c r="O43" s="706"/>
      <c r="P43" s="706"/>
      <c r="Q43" s="706"/>
      <c r="R43" s="706"/>
      <c r="S43" s="706"/>
      <c r="T43" s="706"/>
      <c r="U43" s="706"/>
      <c r="V43" s="706"/>
      <c r="W43" s="706"/>
      <c r="X43" s="706"/>
      <c r="Y43" s="706"/>
      <c r="Z43" s="706"/>
    </row>
    <row r="44">
      <c r="A44" s="209">
        <v>3.0</v>
      </c>
      <c r="B44" s="204" t="str">
        <f>mround('WEEK 3 '!B40*0.9,5)</f>
        <v>#REF!</v>
      </c>
      <c r="C44" s="54">
        <v>2.0</v>
      </c>
      <c r="D44" s="205" t="s">
        <v>88</v>
      </c>
      <c r="E44" s="57"/>
      <c r="F44" s="58">
        <v>2.0</v>
      </c>
      <c r="G44" s="706"/>
      <c r="H44" s="706"/>
      <c r="I44" s="706"/>
      <c r="J44" s="706"/>
      <c r="K44" s="706"/>
      <c r="L44" s="727"/>
      <c r="M44" s="706"/>
      <c r="N44" s="706"/>
      <c r="O44" s="706"/>
      <c r="P44" s="706"/>
      <c r="Q44" s="706"/>
      <c r="R44" s="706"/>
      <c r="S44" s="706"/>
      <c r="T44" s="706"/>
      <c r="U44" s="706"/>
      <c r="V44" s="706"/>
      <c r="W44" s="706"/>
      <c r="X44" s="706"/>
      <c r="Y44" s="706"/>
      <c r="Z44" s="706"/>
    </row>
    <row r="45">
      <c r="A45" s="210">
        <v>4.0</v>
      </c>
      <c r="B45" s="204" t="str">
        <f>'WEEK 3 '!B40</f>
        <v>#REF!</v>
      </c>
      <c r="C45" s="224">
        <v>3.0</v>
      </c>
      <c r="D45" s="205" t="s">
        <v>89</v>
      </c>
      <c r="E45" s="57"/>
      <c r="F45" s="58">
        <v>3.0</v>
      </c>
      <c r="G45" s="706"/>
      <c r="H45" s="706"/>
      <c r="I45" s="706"/>
      <c r="J45" s="706"/>
      <c r="K45" s="706"/>
      <c r="L45" s="727"/>
      <c r="M45" s="706"/>
      <c r="N45" s="706"/>
      <c r="O45" s="706"/>
      <c r="P45" s="706"/>
      <c r="Q45" s="706"/>
      <c r="R45" s="706"/>
      <c r="S45" s="706"/>
      <c r="T45" s="706"/>
      <c r="U45" s="706"/>
      <c r="V45" s="706"/>
      <c r="W45" s="706"/>
      <c r="X45" s="706"/>
      <c r="Y45" s="706"/>
      <c r="Z45" s="706"/>
    </row>
    <row r="46">
      <c r="A46" s="213" t="str">
        <f>IF('WEEK 3 '!F45&lt;3,"PROCEED TO DOWN SETS","NEW 4 REP MAX ATTEMPT")</f>
        <v>#REF!</v>
      </c>
      <c r="B46" s="11"/>
      <c r="C46" s="11"/>
      <c r="D46" s="11"/>
      <c r="E46" s="11"/>
      <c r="F46" s="86"/>
      <c r="G46" s="387"/>
      <c r="H46" s="387"/>
      <c r="I46" s="387"/>
      <c r="J46" s="387"/>
      <c r="K46" s="387"/>
      <c r="L46" s="695"/>
      <c r="M46" s="387"/>
      <c r="N46" s="387"/>
      <c r="O46" s="387"/>
      <c r="P46" s="387"/>
      <c r="Q46" s="387"/>
      <c r="R46" s="387"/>
      <c r="S46" s="387"/>
      <c r="T46" s="387"/>
      <c r="U46" s="387"/>
      <c r="V46" s="387"/>
      <c r="W46" s="387"/>
      <c r="X46" s="387"/>
      <c r="Y46" s="387"/>
      <c r="Z46" s="387"/>
    </row>
    <row r="47">
      <c r="A47" s="216" t="str">
        <f>if('WEEK 3 '!F45&lt;=2,"",5)</f>
        <v>#REF!</v>
      </c>
      <c r="B47" s="142" t="str">
        <f>IF('WEEK 3 '!F45&lt;=2,"",'WEEK 3 '!B45+5)</f>
        <v>#REF!</v>
      </c>
      <c r="C47" s="205" t="str">
        <f>if('WEEK 3 '!F45&lt;=2,"",4)</f>
        <v>#REF!</v>
      </c>
      <c r="D47" s="205" t="str">
        <f>if('WEEK 3 '!F45&lt;=2,"","1-5 MIN")</f>
        <v>#REF!</v>
      </c>
      <c r="E47" s="217"/>
      <c r="F47" s="58"/>
      <c r="G47" s="706"/>
      <c r="H47" s="706"/>
      <c r="I47" s="706"/>
      <c r="J47" s="706"/>
      <c r="K47" s="706"/>
      <c r="L47" s="727"/>
      <c r="M47" s="706"/>
      <c r="N47" s="706"/>
      <c r="O47" s="706"/>
      <c r="P47" s="706"/>
      <c r="Q47" s="706"/>
      <c r="R47" s="706"/>
      <c r="S47" s="706"/>
      <c r="T47" s="706"/>
      <c r="U47" s="706"/>
      <c r="V47" s="706"/>
      <c r="W47" s="706"/>
      <c r="X47" s="706"/>
      <c r="Y47" s="706"/>
      <c r="Z47" s="706"/>
    </row>
    <row r="48">
      <c r="A48" s="226" t="str">
        <f>IF('WEEK 3 '!F47&lt;4,"","6")</f>
        <v>#REF!</v>
      </c>
      <c r="B48" s="204" t="str">
        <f>IF('WEEK 3 '!F47&lt;4,"",'WEEK 3 '!B47+5)</f>
        <v>#REF!</v>
      </c>
      <c r="C48" s="224" t="str">
        <f>IF('WEEK 3 '!F47&lt;4,"","4")</f>
        <v>#REF!</v>
      </c>
      <c r="D48" s="224" t="str">
        <f>IF('WEEK 3 '!F47&lt;4,"","1-5 MIN")</f>
        <v>#REF!</v>
      </c>
      <c r="E48" s="225"/>
      <c r="F48" s="58"/>
      <c r="G48" s="706"/>
      <c r="H48" s="706"/>
      <c r="I48" s="706"/>
      <c r="J48" s="706"/>
      <c r="K48" s="706"/>
      <c r="L48" s="727"/>
      <c r="M48" s="706"/>
      <c r="N48" s="706"/>
      <c r="O48" s="706"/>
      <c r="P48" s="706"/>
      <c r="Q48" s="706"/>
      <c r="R48" s="706"/>
      <c r="S48" s="706"/>
      <c r="T48" s="706"/>
      <c r="U48" s="706"/>
      <c r="V48" s="706"/>
      <c r="W48" s="706"/>
      <c r="X48" s="706"/>
      <c r="Y48" s="706"/>
      <c r="Z48" s="706"/>
    </row>
    <row r="49">
      <c r="A49" s="213" t="s">
        <v>100</v>
      </c>
      <c r="B49" s="11"/>
      <c r="C49" s="11"/>
      <c r="D49" s="11"/>
      <c r="E49" s="11"/>
      <c r="F49" s="86"/>
      <c r="G49" s="706"/>
      <c r="H49" s="706"/>
      <c r="I49" s="706"/>
      <c r="J49" s="706"/>
      <c r="K49" s="706"/>
      <c r="L49" s="727"/>
      <c r="M49" s="706"/>
      <c r="N49" s="706"/>
      <c r="O49" s="706"/>
      <c r="P49" s="706"/>
      <c r="Q49" s="706"/>
      <c r="R49" s="706"/>
      <c r="S49" s="706"/>
      <c r="T49" s="706"/>
      <c r="U49" s="706"/>
      <c r="V49" s="706"/>
      <c r="W49" s="706"/>
      <c r="X49" s="706"/>
      <c r="Y49" s="706"/>
      <c r="Z49" s="706"/>
    </row>
    <row r="50">
      <c r="A50" s="231" t="str">
        <f>IF('WEEK 3 '!F47&gt;=1,7,IF('WEEK 3 '!F45&lt;1,5,6))</f>
        <v>#REF!</v>
      </c>
      <c r="B50" s="232" t="str">
        <f>MROUND('WEEK 3 '!B52*0.8,5)</f>
        <v>#REF!</v>
      </c>
      <c r="C50" s="233" t="s">
        <v>33</v>
      </c>
      <c r="D50" s="234" t="s">
        <v>94</v>
      </c>
      <c r="E50" s="235"/>
      <c r="F50" s="58"/>
      <c r="G50" s="387"/>
      <c r="H50" s="387"/>
      <c r="I50" s="387"/>
      <c r="J50" s="387"/>
      <c r="K50" s="387"/>
      <c r="L50" s="695"/>
      <c r="M50" s="387"/>
      <c r="N50" s="387"/>
      <c r="O50" s="387"/>
      <c r="P50" s="387"/>
      <c r="Q50" s="387"/>
      <c r="R50" s="387"/>
      <c r="S50" s="387"/>
      <c r="T50" s="387"/>
      <c r="U50" s="387"/>
      <c r="V50" s="387"/>
      <c r="W50" s="387"/>
      <c r="X50" s="387"/>
      <c r="Y50" s="387"/>
      <c r="Z50" s="387"/>
    </row>
    <row r="51">
      <c r="A51" s="210" t="str">
        <f>IF('WEEK 3 '!F47&gt;=1,8,IF('WEEK 3 '!F45&lt;1,6,7))</f>
        <v>#REF!</v>
      </c>
      <c r="B51" s="204" t="str">
        <f>mround('WEEK 3 '!B52*0.7,5)</f>
        <v>#REF!</v>
      </c>
      <c r="C51" s="212" t="s">
        <v>33</v>
      </c>
      <c r="D51" s="56" t="s">
        <v>94</v>
      </c>
      <c r="E51" s="225"/>
      <c r="F51" s="238"/>
      <c r="G51" s="387"/>
      <c r="H51" s="387"/>
      <c r="I51" s="387"/>
      <c r="J51" s="387"/>
      <c r="K51" s="387"/>
      <c r="L51" s="695"/>
      <c r="M51" s="387"/>
      <c r="N51" s="387"/>
      <c r="O51" s="387"/>
      <c r="P51" s="387"/>
      <c r="Q51" s="387"/>
      <c r="R51" s="387"/>
      <c r="S51" s="387"/>
      <c r="T51" s="387"/>
      <c r="U51" s="387"/>
      <c r="V51" s="387"/>
      <c r="W51" s="387"/>
      <c r="X51" s="387"/>
      <c r="Y51" s="387"/>
      <c r="Z51" s="387"/>
    </row>
    <row r="52">
      <c r="A52" s="195" t="s">
        <v>91</v>
      </c>
      <c r="B52" s="525" t="str">
        <f>IF(OR(ISBLANK('WEEK 3 '!F45),ISBLANK('WEEK 3 '!F44),ISBLANK('WEEK 3 '!F43)),"",IF('WEEK 3 '!F48&gt;=4,'WEEK 3 '!B48,IF('WEEK 3 '!F47&gt;=1,'WEEK 3 '!B47,IF('WEEK 3 '!F45&lt;3,'WEEK 3 '!B45-5,'WEEK 3 '!B45))))</f>
        <v>#REF!</v>
      </c>
      <c r="F52" s="19"/>
      <c r="G52" s="387"/>
      <c r="H52" s="387"/>
      <c r="I52" s="387"/>
      <c r="J52" s="387"/>
      <c r="K52" s="387"/>
      <c r="L52" s="695"/>
      <c r="M52" s="387"/>
      <c r="N52" s="387"/>
      <c r="O52" s="387"/>
      <c r="P52" s="387"/>
      <c r="Q52" s="387"/>
      <c r="R52" s="387"/>
      <c r="S52" s="387"/>
      <c r="T52" s="387"/>
      <c r="U52" s="387"/>
      <c r="V52" s="387"/>
      <c r="W52" s="387"/>
      <c r="X52" s="387"/>
      <c r="Y52" s="387"/>
      <c r="Z52" s="387"/>
    </row>
    <row r="53">
      <c r="A53" s="728"/>
      <c r="B53" s="728"/>
      <c r="C53" s="728"/>
      <c r="D53" s="728"/>
      <c r="E53" s="728"/>
      <c r="F53" s="728"/>
      <c r="G53" s="387"/>
      <c r="H53" s="387"/>
      <c r="I53" s="387"/>
      <c r="J53" s="387"/>
      <c r="K53" s="387"/>
      <c r="L53" s="695"/>
      <c r="M53" s="387"/>
      <c r="N53" s="387"/>
      <c r="O53" s="387"/>
      <c r="P53" s="387"/>
      <c r="Q53" s="387"/>
      <c r="R53" s="387"/>
      <c r="S53" s="387"/>
      <c r="T53" s="387"/>
      <c r="U53" s="387"/>
      <c r="V53" s="387"/>
      <c r="W53" s="387"/>
      <c r="X53" s="387"/>
      <c r="Y53" s="387"/>
      <c r="Z53" s="387"/>
    </row>
    <row r="54">
      <c r="A54" s="729" t="str">
        <f>HYPERLINK("https://www.youtube.com/watch?v=PnaDzYh2axA","4. LAT PULL DOWN")</f>
        <v>4. LAT PULL DOWN</v>
      </c>
      <c r="B54" s="4"/>
      <c r="C54" s="4"/>
      <c r="D54" s="4"/>
      <c r="E54" s="4"/>
      <c r="F54" s="48"/>
      <c r="G54" s="387"/>
      <c r="H54" s="387"/>
      <c r="I54" s="387"/>
      <c r="J54" s="387"/>
      <c r="K54" s="387"/>
      <c r="L54" s="695"/>
      <c r="M54" s="387"/>
      <c r="N54" s="387"/>
      <c r="O54" s="387"/>
      <c r="P54" s="387"/>
      <c r="Q54" s="387"/>
      <c r="R54" s="387"/>
      <c r="S54" s="387"/>
      <c r="T54" s="387"/>
      <c r="U54" s="387"/>
      <c r="V54" s="387"/>
      <c r="W54" s="387"/>
      <c r="X54" s="387"/>
      <c r="Y54" s="387"/>
      <c r="Z54" s="387"/>
    </row>
    <row r="55">
      <c r="A55" s="193" t="s">
        <v>86</v>
      </c>
      <c r="B55" s="669" t="str">
        <f>'WEEK 2'!B68</f>
        <v>#REF!</v>
      </c>
      <c r="C55" s="4"/>
      <c r="D55" s="4"/>
      <c r="E55" s="4"/>
      <c r="F55" s="48"/>
      <c r="G55" s="387" t="s">
        <v>9</v>
      </c>
      <c r="H55" s="387"/>
      <c r="I55" s="387"/>
      <c r="J55" s="387"/>
      <c r="K55" s="387"/>
      <c r="L55" s="695"/>
      <c r="M55" s="387"/>
      <c r="N55" s="387"/>
      <c r="O55" s="387"/>
      <c r="P55" s="387"/>
      <c r="Q55" s="387"/>
      <c r="R55" s="387"/>
      <c r="S55" s="387"/>
      <c r="T55" s="387"/>
      <c r="U55" s="387"/>
      <c r="V55" s="387"/>
      <c r="W55" s="387"/>
      <c r="X55" s="387"/>
      <c r="Y55" s="387"/>
      <c r="Z55" s="387"/>
    </row>
    <row r="56">
      <c r="A56" s="87" t="s">
        <v>18</v>
      </c>
      <c r="B56" s="88" t="s">
        <v>19</v>
      </c>
      <c r="C56" s="88" t="s">
        <v>20</v>
      </c>
      <c r="D56" s="88" t="s">
        <v>21</v>
      </c>
      <c r="E56" s="308" t="s">
        <v>22</v>
      </c>
      <c r="F56" s="202" t="s">
        <v>23</v>
      </c>
      <c r="G56" s="702"/>
      <c r="H56" s="702"/>
      <c r="I56" s="702"/>
      <c r="J56" s="702"/>
      <c r="K56" s="702"/>
      <c r="L56" s="726"/>
      <c r="M56" s="702"/>
      <c r="N56" s="702"/>
      <c r="O56" s="702"/>
      <c r="P56" s="702"/>
      <c r="Q56" s="702"/>
      <c r="R56" s="702"/>
      <c r="S56" s="702"/>
      <c r="T56" s="702"/>
      <c r="U56" s="702"/>
      <c r="V56" s="702"/>
      <c r="W56" s="702"/>
      <c r="X56" s="702"/>
      <c r="Y56" s="702"/>
      <c r="Z56" s="702"/>
    </row>
    <row r="57">
      <c r="A57" s="703">
        <v>1.0</v>
      </c>
      <c r="B57" s="311" t="str">
        <f> mround('WEEK 3 '!B55*0.9,5)</f>
        <v>#REF!</v>
      </c>
      <c r="C57" s="408" t="s">
        <v>33</v>
      </c>
      <c r="D57" s="310" t="s">
        <v>25</v>
      </c>
      <c r="E57" s="730"/>
      <c r="F57" s="76"/>
      <c r="G57" s="706"/>
      <c r="H57" s="706"/>
      <c r="I57" s="706"/>
      <c r="J57" s="706"/>
      <c r="K57" s="706"/>
      <c r="L57" s="727"/>
      <c r="M57" s="706"/>
      <c r="N57" s="706"/>
      <c r="O57" s="706"/>
      <c r="P57" s="706"/>
      <c r="Q57" s="706"/>
      <c r="R57" s="706"/>
      <c r="S57" s="706"/>
      <c r="T57" s="706"/>
      <c r="U57" s="706"/>
      <c r="V57" s="706"/>
      <c r="W57" s="706"/>
      <c r="X57" s="706"/>
      <c r="Y57" s="706"/>
      <c r="Z57" s="706"/>
    </row>
    <row r="58">
      <c r="A58" s="703">
        <v>2.0</v>
      </c>
      <c r="B58" s="311" t="str">
        <f>IF('WEEK 3 '!F57&lt;6,MROUND('WEEK 3 '!B55*0.75,5),IF('WEEK 3 '!F57&lt;=11,MROUND('WEEK 3 '!B55*0.85,5),'WEEK 3 '!B57))</f>
        <v>#REF!</v>
      </c>
      <c r="C58" s="408" t="s">
        <v>33</v>
      </c>
      <c r="D58" s="310" t="s">
        <v>25</v>
      </c>
      <c r="E58" s="730"/>
      <c r="F58" s="76"/>
      <c r="G58" s="706"/>
      <c r="H58" s="706"/>
      <c r="I58" s="706"/>
      <c r="J58" s="706"/>
      <c r="K58" s="706"/>
      <c r="L58" s="727"/>
      <c r="M58" s="706"/>
      <c r="N58" s="706"/>
      <c r="O58" s="706"/>
      <c r="P58" s="706"/>
      <c r="Q58" s="706"/>
      <c r="R58" s="706"/>
      <c r="S58" s="706"/>
      <c r="T58" s="706"/>
      <c r="U58" s="706"/>
      <c r="V58" s="706"/>
      <c r="W58" s="706"/>
      <c r="X58" s="706"/>
      <c r="Y58" s="706"/>
      <c r="Z58" s="706"/>
    </row>
    <row r="59">
      <c r="A59" s="731">
        <v>3.0</v>
      </c>
      <c r="B59" s="732" t="str">
        <f>IF('WEEK 3 '!F58&lt;6,MROUND('WEEK 3 '!B55*0.75,5),IF('WEEK 3 '!F58&lt;=11,MROUND('WEEK 3 '!B55*0.85,5),'WEEK 3 '!B58))</f>
        <v>#REF!</v>
      </c>
      <c r="C59" s="711" t="s">
        <v>33</v>
      </c>
      <c r="D59" s="457" t="s">
        <v>25</v>
      </c>
      <c r="E59" s="733"/>
      <c r="F59" s="76"/>
      <c r="G59" s="706"/>
      <c r="H59" s="706"/>
      <c r="I59" s="706"/>
      <c r="J59" s="706"/>
      <c r="K59" s="706"/>
      <c r="L59" s="727"/>
      <c r="M59" s="706"/>
      <c r="N59" s="706"/>
      <c r="O59" s="706"/>
      <c r="P59" s="706"/>
      <c r="Q59" s="706"/>
      <c r="R59" s="706"/>
      <c r="S59" s="706"/>
      <c r="T59" s="706"/>
      <c r="U59" s="706"/>
      <c r="V59" s="706"/>
      <c r="W59" s="706"/>
      <c r="X59" s="706"/>
      <c r="Y59" s="706"/>
      <c r="Z59" s="706"/>
    </row>
    <row r="60">
      <c r="A60" s="734"/>
      <c r="B60" s="734"/>
      <c r="C60" s="734"/>
      <c r="D60" s="734"/>
      <c r="E60" s="735"/>
      <c r="F60" s="387"/>
      <c r="G60" s="387"/>
      <c r="H60" s="387"/>
      <c r="I60" s="387"/>
      <c r="J60" s="387"/>
      <c r="K60" s="387"/>
      <c r="L60" s="695"/>
      <c r="M60" s="387"/>
      <c r="N60" s="387"/>
      <c r="O60" s="387"/>
      <c r="P60" s="387"/>
      <c r="Q60" s="387"/>
      <c r="R60" s="387"/>
      <c r="S60" s="387"/>
      <c r="T60" s="387"/>
      <c r="U60" s="387"/>
      <c r="V60" s="387"/>
      <c r="W60" s="387"/>
      <c r="X60" s="387"/>
      <c r="Y60" s="387"/>
      <c r="Z60" s="387"/>
    </row>
    <row r="61">
      <c r="A61" s="734"/>
      <c r="B61" s="734"/>
      <c r="C61" s="734"/>
      <c r="D61" s="734"/>
      <c r="E61" s="735"/>
      <c r="F61" s="387"/>
      <c r="G61" s="387"/>
      <c r="H61" s="387"/>
      <c r="I61" s="387"/>
      <c r="J61" s="387"/>
      <c r="K61" s="387"/>
      <c r="L61" s="695"/>
      <c r="M61" s="387"/>
      <c r="N61" s="387"/>
      <c r="O61" s="387"/>
      <c r="P61" s="387"/>
      <c r="Q61" s="387"/>
      <c r="R61" s="387"/>
      <c r="S61" s="387"/>
      <c r="T61" s="387"/>
      <c r="U61" s="387"/>
      <c r="V61" s="387"/>
      <c r="W61" s="387"/>
      <c r="X61" s="387"/>
      <c r="Y61" s="387"/>
      <c r="Z61" s="387"/>
    </row>
    <row r="62">
      <c r="A62" s="64" t="str">
        <f>HYPERLINK("https://youtu.be/9YH1YvZbiY0","5. LOW ROW ")</f>
        <v>5. LOW ROW </v>
      </c>
      <c r="B62" s="44"/>
      <c r="C62" s="44"/>
      <c r="D62" s="44"/>
      <c r="E62" s="44"/>
      <c r="F62" s="45"/>
      <c r="G62" s="387"/>
      <c r="H62" s="387"/>
      <c r="I62" s="387"/>
      <c r="J62" s="387"/>
      <c r="K62" s="387"/>
      <c r="L62" s="695"/>
      <c r="M62" s="387"/>
      <c r="N62" s="387"/>
      <c r="O62" s="387"/>
      <c r="P62" s="387"/>
      <c r="Q62" s="387"/>
      <c r="R62" s="387"/>
      <c r="S62" s="387"/>
      <c r="T62" s="387"/>
      <c r="U62" s="387"/>
      <c r="V62" s="387"/>
      <c r="W62" s="387"/>
      <c r="X62" s="387"/>
      <c r="Y62" s="387"/>
      <c r="Z62" s="387"/>
    </row>
    <row r="63">
      <c r="A63" s="193" t="s">
        <v>86</v>
      </c>
      <c r="B63" s="669" t="str">
        <f>'WEEK 2'!B57</f>
        <v>#REF!</v>
      </c>
      <c r="C63" s="4"/>
      <c r="D63" s="4"/>
      <c r="E63" s="4"/>
      <c r="F63" s="48"/>
      <c r="G63" s="387"/>
      <c r="H63" s="387"/>
      <c r="I63" s="387"/>
      <c r="J63" s="387"/>
      <c r="K63" s="387"/>
      <c r="L63" s="695"/>
      <c r="M63" s="387"/>
      <c r="N63" s="387"/>
      <c r="O63" s="387"/>
      <c r="P63" s="387"/>
      <c r="Q63" s="387"/>
      <c r="R63" s="387"/>
      <c r="S63" s="387"/>
      <c r="T63" s="387"/>
      <c r="U63" s="387"/>
      <c r="V63" s="387"/>
      <c r="W63" s="387"/>
      <c r="X63" s="387"/>
      <c r="Y63" s="387"/>
      <c r="Z63" s="387"/>
    </row>
    <row r="64">
      <c r="A64" s="87" t="s">
        <v>18</v>
      </c>
      <c r="B64" s="88" t="s">
        <v>19</v>
      </c>
      <c r="C64" s="88" t="s">
        <v>20</v>
      </c>
      <c r="D64" s="88" t="s">
        <v>21</v>
      </c>
      <c r="E64" s="308" t="s">
        <v>22</v>
      </c>
      <c r="F64" s="202" t="s">
        <v>23</v>
      </c>
      <c r="G64" s="702"/>
      <c r="H64" s="702"/>
      <c r="I64" s="702"/>
      <c r="J64" s="702"/>
      <c r="K64" s="702"/>
      <c r="L64" s="726"/>
      <c r="M64" s="702"/>
      <c r="N64" s="702"/>
      <c r="O64" s="702"/>
      <c r="P64" s="702"/>
      <c r="Q64" s="702"/>
      <c r="R64" s="702"/>
      <c r="S64" s="702"/>
      <c r="T64" s="702"/>
      <c r="U64" s="702"/>
      <c r="V64" s="702"/>
      <c r="W64" s="702"/>
      <c r="X64" s="702"/>
      <c r="Y64" s="702"/>
      <c r="Z64" s="702"/>
    </row>
    <row r="65">
      <c r="A65" s="703">
        <v>1.0</v>
      </c>
      <c r="B65" s="311" t="str">
        <f>mround('WEEK 3 '!B63*0.85,5)</f>
        <v>#REF!</v>
      </c>
      <c r="C65" s="408" t="s">
        <v>33</v>
      </c>
      <c r="D65" s="310" t="s">
        <v>94</v>
      </c>
      <c r="E65" s="705"/>
      <c r="F65" s="76"/>
      <c r="G65" s="387"/>
      <c r="H65" s="387"/>
      <c r="I65" s="387"/>
      <c r="J65" s="387"/>
      <c r="K65" s="387"/>
      <c r="L65" s="695"/>
      <c r="M65" s="387"/>
      <c r="N65" s="387"/>
      <c r="O65" s="387"/>
      <c r="P65" s="387"/>
      <c r="Q65" s="387"/>
      <c r="R65" s="387"/>
      <c r="S65" s="387"/>
      <c r="T65" s="387"/>
      <c r="U65" s="387"/>
      <c r="V65" s="387"/>
      <c r="W65" s="387"/>
      <c r="X65" s="387"/>
      <c r="Y65" s="387"/>
      <c r="Z65" s="387"/>
    </row>
    <row r="66">
      <c r="A66" s="703">
        <v>2.0</v>
      </c>
      <c r="B66" s="311" t="str">
        <f>IF('WEEK 3 '!F65&lt;6,MROUND('WEEK 3 '!B63*0.75,5),IF('WEEK 3 '!F65&lt;=11,MROUND('WEEK 3 '!B63*0.75,5),'WEEK 3 '!B65))</f>
        <v>#REF!</v>
      </c>
      <c r="C66" s="408" t="s">
        <v>33</v>
      </c>
      <c r="D66" s="310" t="s">
        <v>94</v>
      </c>
      <c r="E66" s="705"/>
      <c r="F66" s="76"/>
      <c r="G66" s="387"/>
      <c r="H66" s="387"/>
      <c r="I66" s="387"/>
      <c r="J66" s="387"/>
      <c r="K66" s="387"/>
      <c r="L66" s="695"/>
      <c r="M66" s="387"/>
      <c r="N66" s="387"/>
      <c r="O66" s="387"/>
      <c r="P66" s="387"/>
      <c r="Q66" s="387"/>
      <c r="R66" s="387"/>
      <c r="S66" s="387"/>
      <c r="T66" s="387"/>
      <c r="U66" s="387"/>
      <c r="V66" s="387"/>
      <c r="W66" s="387"/>
      <c r="X66" s="387"/>
      <c r="Y66" s="387"/>
      <c r="Z66" s="387"/>
    </row>
    <row r="67">
      <c r="A67" s="731">
        <v>3.0</v>
      </c>
      <c r="B67" s="732" t="str">
        <f>IF('WEEK 3 '!F66&lt;6,MROUND('WEEK 3 '!B66*0.8,5),IF('WEEK 3 '!F66&lt;=11,MROUND('WEEK 3 '!B63*0.75,5),'WEEK 3 '!B66))</f>
        <v>#REF!</v>
      </c>
      <c r="C67" s="711" t="s">
        <v>33</v>
      </c>
      <c r="D67" s="457" t="s">
        <v>94</v>
      </c>
      <c r="E67" s="712"/>
      <c r="F67" s="76"/>
      <c r="G67" s="387"/>
      <c r="H67" s="387"/>
      <c r="I67" s="387"/>
      <c r="J67" s="387"/>
      <c r="K67" s="387"/>
      <c r="L67" s="695"/>
      <c r="M67" s="387"/>
      <c r="N67" s="387"/>
      <c r="O67" s="387"/>
      <c r="P67" s="387"/>
      <c r="Q67" s="387"/>
      <c r="R67" s="387"/>
      <c r="S67" s="387"/>
      <c r="T67" s="387"/>
      <c r="U67" s="387"/>
      <c r="V67" s="387"/>
      <c r="W67" s="387"/>
      <c r="X67" s="387"/>
      <c r="Y67" s="387"/>
      <c r="Z67" s="387"/>
    </row>
    <row r="68">
      <c r="A68" s="736"/>
      <c r="B68" s="714"/>
      <c r="C68" s="737"/>
      <c r="D68" s="738"/>
      <c r="E68" s="739"/>
      <c r="F68" s="740"/>
      <c r="G68" s="387"/>
      <c r="H68" s="387"/>
      <c r="I68" s="387"/>
      <c r="J68" s="387"/>
      <c r="K68" s="387"/>
      <c r="L68" s="695"/>
      <c r="M68" s="387"/>
      <c r="N68" s="387"/>
      <c r="O68" s="387"/>
      <c r="P68" s="387"/>
      <c r="Q68" s="387"/>
      <c r="R68" s="387"/>
      <c r="S68" s="387"/>
      <c r="T68" s="387"/>
      <c r="U68" s="387"/>
      <c r="V68" s="387"/>
      <c r="W68" s="387"/>
      <c r="X68" s="387"/>
      <c r="Y68" s="387"/>
      <c r="Z68" s="387"/>
    </row>
    <row r="69">
      <c r="A69" s="277" t="str">
        <f>HYPERLINK("https://docs.google.com/a/fitnessresults.com/forms/d/e/1FAIpQLSd7MoczESe8Yjv6BKpmwAZGn9Aiymrs9-UdgfYIUpbr9t5NXg/viewform?usp=pp_url&amp;entry.93370101","CLICK TO COMPLETE WORKOUT")</f>
        <v>CLICK TO COMPLETE WORKOUT</v>
      </c>
      <c r="B69" s="27"/>
      <c r="C69" s="27"/>
      <c r="D69" s="27"/>
      <c r="E69" s="27"/>
      <c r="F69" s="28"/>
      <c r="G69" s="307"/>
      <c r="H69" s="307"/>
      <c r="I69" s="307"/>
      <c r="J69" s="307"/>
      <c r="K69" s="307"/>
      <c r="L69" s="307"/>
      <c r="M69" s="307"/>
      <c r="N69" s="307"/>
      <c r="O69" s="307"/>
      <c r="P69" s="307"/>
      <c r="Q69" s="307"/>
      <c r="R69" s="307"/>
      <c r="S69" s="307"/>
      <c r="T69" s="307"/>
      <c r="U69" s="307"/>
      <c r="V69" s="307"/>
      <c r="W69" s="307"/>
      <c r="X69" s="307"/>
      <c r="Y69" s="307"/>
      <c r="Z69" s="307"/>
    </row>
    <row r="70">
      <c r="A70" s="741"/>
      <c r="B70" s="742"/>
      <c r="C70" s="742"/>
      <c r="D70" s="742"/>
      <c r="E70" s="742"/>
      <c r="F70" s="742"/>
      <c r="G70" s="307"/>
      <c r="H70" s="307"/>
      <c r="I70" s="307"/>
      <c r="J70" s="307"/>
      <c r="K70" s="307"/>
      <c r="L70" s="307"/>
      <c r="M70" s="307"/>
      <c r="N70" s="307"/>
      <c r="O70" s="307"/>
      <c r="P70" s="307"/>
      <c r="Q70" s="307"/>
      <c r="R70" s="307"/>
      <c r="S70" s="307"/>
      <c r="T70" s="307"/>
      <c r="U70" s="307"/>
      <c r="V70" s="307"/>
      <c r="W70" s="307"/>
      <c r="X70" s="307"/>
      <c r="Y70" s="307"/>
      <c r="Z70" s="307"/>
    </row>
    <row r="71">
      <c r="A71" s="41" t="s">
        <v>95</v>
      </c>
      <c r="B71" s="27"/>
      <c r="C71" s="27"/>
      <c r="D71" s="27"/>
      <c r="E71" s="27"/>
      <c r="F71" s="28"/>
      <c r="G71" s="387"/>
      <c r="H71" s="387"/>
      <c r="I71" s="387"/>
      <c r="J71" s="387"/>
      <c r="K71" s="387"/>
      <c r="L71" s="695"/>
      <c r="M71" s="387"/>
      <c r="N71" s="387"/>
      <c r="O71" s="387"/>
      <c r="P71" s="387"/>
      <c r="Q71" s="387"/>
      <c r="R71" s="387"/>
      <c r="S71" s="387"/>
      <c r="T71" s="387"/>
      <c r="U71" s="387"/>
      <c r="V71" s="387"/>
      <c r="W71" s="387"/>
      <c r="X71" s="387"/>
      <c r="Y71" s="387"/>
      <c r="Z71" s="387"/>
    </row>
    <row r="72">
      <c r="A72" s="743"/>
      <c r="B72" s="743"/>
      <c r="C72" s="743"/>
      <c r="D72" s="743"/>
      <c r="E72" s="743"/>
      <c r="F72" s="743"/>
      <c r="G72" s="387"/>
      <c r="H72" s="387"/>
      <c r="I72" s="387"/>
      <c r="J72" s="387"/>
      <c r="K72" s="387"/>
      <c r="L72" s="695"/>
      <c r="M72" s="387"/>
      <c r="N72" s="387"/>
      <c r="O72" s="387"/>
      <c r="P72" s="387"/>
      <c r="Q72" s="387"/>
      <c r="R72" s="387"/>
      <c r="S72" s="387"/>
      <c r="T72" s="387"/>
      <c r="U72" s="387"/>
      <c r="V72" s="387"/>
      <c r="W72" s="387"/>
      <c r="X72" s="387"/>
      <c r="Y72" s="387"/>
      <c r="Z72" s="387"/>
    </row>
    <row r="73">
      <c r="A73" s="743"/>
      <c r="B73" s="743"/>
      <c r="C73" s="743"/>
      <c r="D73" s="743"/>
      <c r="E73" s="743"/>
      <c r="F73" s="743"/>
      <c r="G73" s="387"/>
      <c r="H73" s="387"/>
      <c r="I73" s="387"/>
      <c r="J73" s="387"/>
      <c r="K73" s="387"/>
      <c r="L73" s="695"/>
      <c r="M73" s="387"/>
      <c r="N73" s="387"/>
      <c r="O73" s="387"/>
      <c r="P73" s="387"/>
      <c r="Q73" s="387"/>
      <c r="R73" s="387"/>
      <c r="S73" s="387"/>
      <c r="T73" s="387"/>
      <c r="U73" s="387"/>
      <c r="V73" s="387"/>
      <c r="W73" s="387"/>
      <c r="X73" s="387"/>
      <c r="Y73" s="387"/>
      <c r="Z73" s="387"/>
    </row>
    <row r="74">
      <c r="A74" s="302" t="str">
        <f>HYPERLINK("https://www.youtube.com/watch?v=qrv8cCA-WCY","WATCH THIS BEFORE MACHINE SQUAT")</f>
        <v>WATCH THIS BEFORE MACHINE SQUAT</v>
      </c>
      <c r="B74" s="16"/>
      <c r="C74" s="16"/>
      <c r="D74" s="16"/>
      <c r="E74" s="16"/>
      <c r="F74" s="17"/>
      <c r="G74" s="387"/>
      <c r="H74" s="387"/>
      <c r="I74" s="387"/>
      <c r="J74" s="387"/>
      <c r="K74" s="387"/>
      <c r="L74" s="695"/>
      <c r="M74" s="387"/>
      <c r="N74" s="387"/>
      <c r="O74" s="387"/>
      <c r="P74" s="387"/>
      <c r="Q74" s="387"/>
      <c r="R74" s="387"/>
      <c r="S74" s="387"/>
      <c r="T74" s="387"/>
      <c r="U74" s="387"/>
      <c r="V74" s="387"/>
      <c r="W74" s="387"/>
      <c r="X74" s="387"/>
      <c r="Y74" s="387"/>
      <c r="Z74" s="387"/>
    </row>
    <row r="75">
      <c r="A75" s="303"/>
      <c r="B75" s="2"/>
      <c r="C75" s="2"/>
      <c r="D75" s="2"/>
      <c r="E75" s="2"/>
      <c r="F75" s="37"/>
      <c r="G75" s="387"/>
      <c r="H75" s="387"/>
      <c r="I75" s="387"/>
      <c r="J75" s="387"/>
      <c r="K75" s="387"/>
      <c r="L75" s="695"/>
      <c r="M75" s="387"/>
      <c r="N75" s="387"/>
      <c r="O75" s="387"/>
      <c r="P75" s="387"/>
      <c r="Q75" s="387"/>
      <c r="R75" s="387"/>
      <c r="S75" s="387"/>
      <c r="T75" s="387"/>
      <c r="U75" s="387"/>
      <c r="V75" s="387"/>
      <c r="W75" s="387"/>
      <c r="X75" s="387"/>
      <c r="Y75" s="387"/>
      <c r="Z75" s="387"/>
    </row>
    <row r="76">
      <c r="A76" s="42" t="s">
        <v>125</v>
      </c>
      <c r="B76" s="27"/>
      <c r="C76" s="27"/>
      <c r="D76" s="27"/>
      <c r="E76" s="27"/>
      <c r="F76" s="28"/>
      <c r="G76" s="387"/>
      <c r="H76" s="42" t="s">
        <v>125</v>
      </c>
      <c r="I76" s="27"/>
      <c r="J76" s="27"/>
      <c r="K76" s="27"/>
      <c r="L76" s="27"/>
      <c r="M76" s="28"/>
      <c r="N76" s="387"/>
      <c r="O76" s="387"/>
      <c r="P76" s="387"/>
      <c r="Q76" s="387"/>
      <c r="R76" s="387"/>
      <c r="S76" s="387"/>
      <c r="T76" s="387"/>
      <c r="U76" s="387"/>
      <c r="V76" s="387"/>
      <c r="W76" s="387"/>
      <c r="X76" s="387"/>
      <c r="Y76" s="387"/>
      <c r="Z76" s="387"/>
    </row>
    <row r="77">
      <c r="A77" s="290" t="str">
        <f>HYPERLINK("https://youtu.be/FOBCA_kCq3A","1. MACHINE SQUAT ")</f>
        <v>1. MACHINE SQUAT </v>
      </c>
      <c r="B77" s="44"/>
      <c r="C77" s="44"/>
      <c r="D77" s="44"/>
      <c r="E77" s="44"/>
      <c r="F77" s="45"/>
      <c r="G77" s="744"/>
      <c r="H77" s="290" t="str">
        <f>HYPERLINK("https://youtu.be/dVterVQksD4","1. LEG PRESS")</f>
        <v>1. LEG PRESS</v>
      </c>
      <c r="I77" s="44"/>
      <c r="J77" s="44"/>
      <c r="K77" s="44"/>
      <c r="L77" s="44"/>
      <c r="M77" s="45"/>
      <c r="N77" s="387"/>
      <c r="O77" s="387"/>
      <c r="P77" s="387"/>
      <c r="Q77" s="387"/>
      <c r="R77" s="387"/>
      <c r="S77" s="387"/>
      <c r="T77" s="387"/>
      <c r="U77" s="387"/>
      <c r="V77" s="387"/>
      <c r="W77" s="387"/>
      <c r="X77" s="387"/>
      <c r="Y77" s="387"/>
      <c r="Z77" s="387"/>
    </row>
    <row r="78">
      <c r="A78" s="87" t="s">
        <v>18</v>
      </c>
      <c r="B78" s="88" t="s">
        <v>19</v>
      </c>
      <c r="C78" s="88" t="s">
        <v>20</v>
      </c>
      <c r="D78" s="88" t="s">
        <v>21</v>
      </c>
      <c r="E78" s="308" t="s">
        <v>22</v>
      </c>
      <c r="F78" s="202" t="s">
        <v>23</v>
      </c>
      <c r="G78" s="387"/>
      <c r="H78" s="193" t="s">
        <v>86</v>
      </c>
      <c r="I78" s="669" t="str">
        <f>'WEEK 2'!B96</f>
        <v>#REF!</v>
      </c>
      <c r="J78" s="4"/>
      <c r="K78" s="4"/>
      <c r="L78" s="4"/>
      <c r="M78" s="48"/>
      <c r="N78" s="387"/>
      <c r="O78" s="387"/>
      <c r="P78" s="387"/>
      <c r="Q78" s="387"/>
      <c r="R78" s="387"/>
      <c r="S78" s="387"/>
      <c r="T78" s="387"/>
      <c r="U78" s="387"/>
      <c r="V78" s="387"/>
      <c r="W78" s="387"/>
      <c r="X78" s="387"/>
      <c r="Y78" s="387"/>
      <c r="Z78" s="387"/>
    </row>
    <row r="79">
      <c r="A79" s="309">
        <v>1.0</v>
      </c>
      <c r="B79" s="310">
        <v>75.0</v>
      </c>
      <c r="C79" s="311">
        <v>10.0</v>
      </c>
      <c r="D79" s="312" t="s">
        <v>89</v>
      </c>
      <c r="E79" s="313"/>
      <c r="F79" s="76"/>
      <c r="G79" s="702"/>
      <c r="H79" s="87" t="s">
        <v>18</v>
      </c>
      <c r="I79" s="88" t="s">
        <v>19</v>
      </c>
      <c r="J79" s="88" t="s">
        <v>20</v>
      </c>
      <c r="K79" s="88" t="s">
        <v>21</v>
      </c>
      <c r="L79" s="308" t="s">
        <v>22</v>
      </c>
      <c r="M79" s="202" t="s">
        <v>23</v>
      </c>
      <c r="N79" s="702"/>
      <c r="O79" s="702"/>
      <c r="P79" s="702"/>
      <c r="Q79" s="702"/>
      <c r="R79" s="702"/>
      <c r="S79" s="702"/>
      <c r="T79" s="702"/>
      <c r="U79" s="702"/>
      <c r="V79" s="702"/>
      <c r="W79" s="702"/>
      <c r="X79" s="702"/>
      <c r="Y79" s="702"/>
      <c r="Z79" s="702"/>
    </row>
    <row r="80">
      <c r="A80" s="309">
        <v>2.0</v>
      </c>
      <c r="B80" s="315">
        <f t="shared" ref="B80:B83" si="5">mround(B79+10,5)</f>
        <v>85</v>
      </c>
      <c r="C80" s="311">
        <v>10.0</v>
      </c>
      <c r="D80" s="312" t="s">
        <v>89</v>
      </c>
      <c r="E80" s="313"/>
      <c r="F80" s="76"/>
      <c r="G80" s="387"/>
      <c r="H80" s="309">
        <v>1.0</v>
      </c>
      <c r="I80" s="315" t="str">
        <f>mround('WEEK 3 '!I78*0.3,5)</f>
        <v>#REF!</v>
      </c>
      <c r="J80" s="310">
        <v>25.0</v>
      </c>
      <c r="K80" s="312" t="s">
        <v>89</v>
      </c>
      <c r="L80" s="313"/>
      <c r="M80" s="76"/>
      <c r="N80" s="387"/>
      <c r="O80" s="387"/>
      <c r="P80" s="387"/>
      <c r="Q80" s="387"/>
      <c r="R80" s="387"/>
      <c r="S80" s="387"/>
      <c r="T80" s="387"/>
      <c r="U80" s="387"/>
      <c r="V80" s="387"/>
      <c r="W80" s="387"/>
      <c r="X80" s="387"/>
      <c r="Y80" s="387"/>
      <c r="Z80" s="387"/>
    </row>
    <row r="81">
      <c r="A81" s="309">
        <v>3.0</v>
      </c>
      <c r="B81" s="315">
        <f t="shared" si="5"/>
        <v>95</v>
      </c>
      <c r="C81" s="311">
        <v>10.0</v>
      </c>
      <c r="D81" s="312" t="s">
        <v>89</v>
      </c>
      <c r="E81" s="313"/>
      <c r="F81" s="76"/>
      <c r="G81" s="387"/>
      <c r="H81" s="309">
        <v>2.0</v>
      </c>
      <c r="I81" s="315" t="str">
        <f>mround('WEEK 3 '!I78*0.5,5)</f>
        <v>#REF!</v>
      </c>
      <c r="J81" s="158">
        <v>25.0</v>
      </c>
      <c r="K81" s="312" t="s">
        <v>89</v>
      </c>
      <c r="L81" s="313"/>
      <c r="M81" s="76"/>
      <c r="N81" s="387"/>
      <c r="O81" s="387"/>
      <c r="P81" s="387"/>
      <c r="Q81" s="387"/>
      <c r="R81" s="387"/>
      <c r="S81" s="387"/>
      <c r="T81" s="387"/>
      <c r="U81" s="387"/>
      <c r="V81" s="387"/>
      <c r="W81" s="387"/>
      <c r="X81" s="387"/>
      <c r="Y81" s="387"/>
      <c r="Z81" s="387"/>
    </row>
    <row r="82">
      <c r="A82" s="309">
        <v>4.0</v>
      </c>
      <c r="B82" s="315">
        <f t="shared" si="5"/>
        <v>105</v>
      </c>
      <c r="C82" s="311">
        <v>10.0</v>
      </c>
      <c r="D82" s="312" t="s">
        <v>89</v>
      </c>
      <c r="E82" s="313"/>
      <c r="F82" s="76"/>
      <c r="G82" s="387"/>
      <c r="H82" s="309">
        <v>3.0</v>
      </c>
      <c r="I82" s="315" t="str">
        <f>mround('WEEK 3 '!I78*0.65,5)</f>
        <v>#REF!</v>
      </c>
      <c r="J82" s="158">
        <v>25.0</v>
      </c>
      <c r="K82" s="312" t="s">
        <v>89</v>
      </c>
      <c r="L82" s="313"/>
      <c r="M82" s="76"/>
      <c r="N82" s="387"/>
      <c r="O82" s="387"/>
      <c r="P82" s="387"/>
      <c r="Q82" s="387"/>
      <c r="R82" s="387"/>
      <c r="S82" s="387"/>
      <c r="T82" s="387"/>
      <c r="U82" s="387"/>
      <c r="V82" s="387"/>
      <c r="W82" s="387"/>
      <c r="X82" s="387"/>
      <c r="Y82" s="387"/>
      <c r="Z82" s="387"/>
    </row>
    <row r="83">
      <c r="A83" s="309">
        <v>5.0</v>
      </c>
      <c r="B83" s="315">
        <f t="shared" si="5"/>
        <v>115</v>
      </c>
      <c r="C83" s="311">
        <v>10.0</v>
      </c>
      <c r="D83" s="312" t="s">
        <v>89</v>
      </c>
      <c r="E83" s="313"/>
      <c r="F83" s="76"/>
      <c r="G83" s="387"/>
      <c r="H83" s="309">
        <v>4.0</v>
      </c>
      <c r="I83" s="315" t="str">
        <f>mround('WEEK 3 '!I78*0.75,5)</f>
        <v>#REF!</v>
      </c>
      <c r="J83" s="158">
        <v>25.0</v>
      </c>
      <c r="K83" s="312" t="s">
        <v>89</v>
      </c>
      <c r="L83" s="313"/>
      <c r="M83" s="76"/>
      <c r="N83" s="387"/>
      <c r="O83" s="387"/>
      <c r="P83" s="387"/>
      <c r="Q83" s="387"/>
      <c r="R83" s="387"/>
      <c r="S83" s="387"/>
      <c r="T83" s="387"/>
      <c r="U83" s="387"/>
      <c r="V83" s="387"/>
      <c r="W83" s="387"/>
      <c r="X83" s="387"/>
      <c r="Y83" s="387"/>
      <c r="Z83" s="387"/>
    </row>
    <row r="84">
      <c r="A84" s="309">
        <v>6.0</v>
      </c>
      <c r="B84" s="317">
        <f>B83+10</f>
        <v>125</v>
      </c>
      <c r="C84" s="311">
        <v>10.0</v>
      </c>
      <c r="D84" s="312" t="s">
        <v>89</v>
      </c>
      <c r="E84" s="318"/>
      <c r="F84" s="76"/>
      <c r="G84" s="387"/>
      <c r="H84" s="456">
        <v>5.0</v>
      </c>
      <c r="I84" s="732" t="str">
        <f>mround('WEEK 3 '!I78*0.85,5)</f>
        <v>#REF!</v>
      </c>
      <c r="J84" s="745">
        <v>25.0</v>
      </c>
      <c r="K84" s="459" t="s">
        <v>89</v>
      </c>
      <c r="L84" s="673"/>
      <c r="M84" s="76"/>
      <c r="N84" s="387"/>
      <c r="O84" s="387"/>
      <c r="P84" s="387"/>
      <c r="Q84" s="387"/>
      <c r="R84" s="387"/>
      <c r="S84" s="387"/>
      <c r="T84" s="387"/>
      <c r="U84" s="387"/>
      <c r="V84" s="387"/>
      <c r="W84" s="387"/>
      <c r="X84" s="387"/>
      <c r="Y84" s="387"/>
      <c r="Z84" s="387"/>
    </row>
    <row r="85">
      <c r="A85" s="319">
        <v>7.0</v>
      </c>
      <c r="B85" s="320">
        <f>mround(B84+10,5)</f>
        <v>135</v>
      </c>
      <c r="C85" s="321">
        <v>10.0</v>
      </c>
      <c r="D85" s="322" t="s">
        <v>89</v>
      </c>
      <c r="E85" s="323"/>
      <c r="F85" s="76"/>
      <c r="G85" s="387"/>
      <c r="H85" s="387"/>
      <c r="I85" s="387"/>
      <c r="J85" s="387"/>
      <c r="K85" s="387"/>
      <c r="L85" s="695"/>
      <c r="M85" s="387"/>
      <c r="N85" s="387"/>
      <c r="O85" s="387"/>
      <c r="P85" s="387"/>
      <c r="Q85" s="387"/>
      <c r="R85" s="387"/>
      <c r="S85" s="387"/>
      <c r="T85" s="387"/>
      <c r="U85" s="387"/>
      <c r="V85" s="387"/>
      <c r="W85" s="387"/>
      <c r="X85" s="387"/>
      <c r="Y85" s="387"/>
      <c r="Z85" s="387"/>
    </row>
    <row r="86">
      <c r="A86" s="324" t="s">
        <v>99</v>
      </c>
      <c r="B86" s="325"/>
      <c r="C86" s="27"/>
      <c r="D86" s="27"/>
      <c r="E86" s="27"/>
      <c r="F86" s="28"/>
      <c r="G86" s="387"/>
      <c r="H86" s="387"/>
      <c r="I86" s="387"/>
      <c r="J86" s="387"/>
      <c r="K86" s="387"/>
      <c r="L86" s="695"/>
      <c r="M86" s="387"/>
      <c r="N86" s="387"/>
      <c r="O86" s="387"/>
      <c r="P86" s="387"/>
      <c r="Q86" s="387"/>
      <c r="R86" s="387"/>
      <c r="S86" s="387"/>
      <c r="T86" s="387"/>
      <c r="U86" s="387"/>
      <c r="V86" s="387"/>
      <c r="W86" s="387"/>
      <c r="X86" s="387"/>
      <c r="Y86" s="387"/>
      <c r="Z86" s="387"/>
    </row>
    <row r="87">
      <c r="A87" s="746"/>
      <c r="B87" s="747"/>
      <c r="C87" s="747"/>
      <c r="D87" s="747"/>
      <c r="E87" s="747"/>
      <c r="F87" s="747"/>
      <c r="G87" s="387"/>
      <c r="H87" s="387"/>
      <c r="I87" s="387"/>
      <c r="J87" s="387"/>
      <c r="K87" s="387"/>
      <c r="L87" s="695"/>
      <c r="M87" s="387"/>
      <c r="N87" s="387"/>
      <c r="O87" s="387"/>
      <c r="P87" s="387"/>
      <c r="Q87" s="387"/>
      <c r="R87" s="387"/>
      <c r="S87" s="387"/>
      <c r="T87" s="387"/>
      <c r="U87" s="387"/>
      <c r="V87" s="387"/>
      <c r="W87" s="387"/>
      <c r="X87" s="387"/>
      <c r="Y87" s="387"/>
      <c r="Z87" s="387"/>
    </row>
    <row r="88">
      <c r="A88" s="746"/>
      <c r="B88" s="747"/>
      <c r="C88" s="747"/>
      <c r="D88" s="747"/>
      <c r="E88" s="747"/>
      <c r="F88" s="747"/>
      <c r="G88" s="387"/>
      <c r="H88" s="387"/>
      <c r="I88" s="387"/>
      <c r="J88" s="387"/>
      <c r="K88" s="387"/>
      <c r="L88" s="695"/>
      <c r="M88" s="387"/>
      <c r="N88" s="387"/>
      <c r="O88" s="387"/>
      <c r="P88" s="387"/>
      <c r="Q88" s="387"/>
      <c r="R88" s="387"/>
      <c r="S88" s="387"/>
      <c r="T88" s="387"/>
      <c r="U88" s="387"/>
      <c r="V88" s="387"/>
      <c r="W88" s="387"/>
      <c r="X88" s="387"/>
      <c r="Y88" s="387"/>
      <c r="Z88" s="387"/>
    </row>
    <row r="89">
      <c r="A89" s="290" t="str">
        <f>HYPERLINK("https://www.youtube.com/watch?v=NZ9KiFtbiMs","2. LEG EXTENSION")</f>
        <v>2. LEG EXTENSION</v>
      </c>
      <c r="B89" s="44"/>
      <c r="C89" s="44"/>
      <c r="D89" s="44"/>
      <c r="E89" s="44"/>
      <c r="F89" s="45"/>
      <c r="G89" s="108"/>
      <c r="H89" s="108"/>
      <c r="I89" s="108"/>
      <c r="J89" s="108"/>
      <c r="K89" s="108"/>
      <c r="L89" s="748"/>
      <c r="M89" s="108"/>
      <c r="N89" s="387"/>
      <c r="O89" s="387"/>
      <c r="P89" s="387"/>
      <c r="Q89" s="387"/>
      <c r="R89" s="387"/>
      <c r="S89" s="387"/>
      <c r="T89" s="387"/>
      <c r="U89" s="387"/>
      <c r="V89" s="387"/>
      <c r="W89" s="387"/>
      <c r="X89" s="387"/>
      <c r="Y89" s="387"/>
      <c r="Z89" s="387"/>
    </row>
    <row r="90">
      <c r="A90" s="193" t="s">
        <v>86</v>
      </c>
      <c r="B90" s="81" t="str">
        <f>IF('WEEK 2'!B102='WEEK 2'!B104,'WEEK 2'!B102+5,IF('WEEK 2'!F102&lt;=9,MROUND('WEEK 2'!B100*0.95,5),'WEEK 2'!B102))</f>
        <v>#REF!</v>
      </c>
      <c r="C90" s="4"/>
      <c r="D90" s="4"/>
      <c r="E90" s="4"/>
      <c r="F90" s="48"/>
      <c r="G90" s="108"/>
      <c r="H90" s="108"/>
      <c r="I90" s="108"/>
      <c r="J90" s="108"/>
      <c r="K90" s="108"/>
      <c r="L90" s="748"/>
      <c r="M90" s="108"/>
      <c r="N90" s="387"/>
      <c r="O90" s="387"/>
      <c r="P90" s="387"/>
      <c r="Q90" s="387"/>
      <c r="R90" s="387"/>
      <c r="S90" s="387"/>
      <c r="T90" s="387"/>
      <c r="U90" s="387"/>
      <c r="V90" s="387"/>
      <c r="W90" s="387"/>
      <c r="X90" s="387"/>
      <c r="Y90" s="387"/>
      <c r="Z90" s="387"/>
    </row>
    <row r="91">
      <c r="A91" s="87" t="s">
        <v>18</v>
      </c>
      <c r="B91" s="88" t="s">
        <v>19</v>
      </c>
      <c r="C91" s="88" t="s">
        <v>20</v>
      </c>
      <c r="D91" s="88" t="s">
        <v>21</v>
      </c>
      <c r="E91" s="89" t="s">
        <v>22</v>
      </c>
      <c r="F91" s="202" t="s">
        <v>23</v>
      </c>
      <c r="G91" s="108"/>
      <c r="H91" s="108"/>
      <c r="I91" s="108"/>
      <c r="J91" s="108"/>
      <c r="K91" s="108"/>
      <c r="L91" s="748"/>
      <c r="M91" s="108"/>
      <c r="N91" s="387"/>
      <c r="O91" s="387"/>
      <c r="P91" s="387"/>
      <c r="Q91" s="387"/>
      <c r="R91" s="387"/>
      <c r="S91" s="387"/>
      <c r="T91" s="387"/>
      <c r="U91" s="387"/>
      <c r="V91" s="387"/>
      <c r="W91" s="387"/>
      <c r="X91" s="387"/>
      <c r="Y91" s="387"/>
      <c r="Z91" s="387"/>
    </row>
    <row r="92">
      <c r="A92" s="319">
        <v>1.0</v>
      </c>
      <c r="B92" s="204" t="str">
        <f>if('WEEK 2'!B103='WEEK 2'!B104,'WEEK 3 '!B90,'WEEK 3 '!B90)</f>
        <v>#REF!</v>
      </c>
      <c r="C92" s="671" t="s">
        <v>29</v>
      </c>
      <c r="D92" s="317" t="s">
        <v>25</v>
      </c>
      <c r="E92" s="420"/>
      <c r="F92" s="76"/>
      <c r="G92" s="108"/>
      <c r="H92" s="108"/>
      <c r="I92" s="108"/>
      <c r="J92" s="108"/>
      <c r="K92" s="108"/>
      <c r="L92" s="748"/>
      <c r="M92" s="108"/>
      <c r="N92" s="387"/>
      <c r="O92" s="387"/>
      <c r="P92" s="387"/>
      <c r="Q92" s="387"/>
      <c r="R92" s="387"/>
      <c r="S92" s="387"/>
      <c r="T92" s="387"/>
      <c r="U92" s="387"/>
      <c r="V92" s="387"/>
      <c r="W92" s="387"/>
      <c r="X92" s="387"/>
      <c r="Y92" s="387"/>
      <c r="Z92" s="387"/>
    </row>
    <row r="93">
      <c r="A93" s="319">
        <v>2.0</v>
      </c>
      <c r="B93" s="204" t="str">
        <f t="shared" ref="B93:B94" si="6">if('WEEK 3 '!F92&lt;8,mround('WEEK 3 '!B92*0.8,5),IF('WEEK 3 '!F92&lt;=14,MROUND('WEEK 3 '!B92*0.95,5),'WEEK 3 '!B92))</f>
        <v>#REF!</v>
      </c>
      <c r="C93" s="671" t="s">
        <v>29</v>
      </c>
      <c r="D93" s="317" t="s">
        <v>25</v>
      </c>
      <c r="E93" s="657"/>
      <c r="F93" s="76"/>
      <c r="G93" s="108"/>
      <c r="H93" s="108"/>
      <c r="I93" s="108"/>
      <c r="J93" s="108"/>
      <c r="K93" s="108"/>
      <c r="L93" s="748"/>
      <c r="M93" s="108"/>
      <c r="N93" s="387"/>
      <c r="O93" s="387"/>
      <c r="P93" s="387"/>
      <c r="Q93" s="387"/>
      <c r="R93" s="387"/>
      <c r="S93" s="387"/>
      <c r="T93" s="387"/>
      <c r="U93" s="387"/>
      <c r="V93" s="387"/>
      <c r="W93" s="387"/>
      <c r="X93" s="387"/>
      <c r="Y93" s="387"/>
      <c r="Z93" s="387"/>
    </row>
    <row r="94">
      <c r="A94" s="319">
        <v>3.0</v>
      </c>
      <c r="B94" s="204" t="str">
        <f t="shared" si="6"/>
        <v>#REF!</v>
      </c>
      <c r="C94" s="671" t="s">
        <v>29</v>
      </c>
      <c r="D94" s="317" t="s">
        <v>25</v>
      </c>
      <c r="E94" s="420"/>
      <c r="F94" s="76"/>
      <c r="G94" s="108"/>
      <c r="H94" s="108"/>
      <c r="I94" s="108"/>
      <c r="J94" s="108"/>
      <c r="K94" s="108"/>
      <c r="L94" s="748"/>
      <c r="M94" s="108"/>
      <c r="N94" s="387"/>
      <c r="O94" s="387"/>
      <c r="P94" s="387"/>
      <c r="Q94" s="387"/>
      <c r="R94" s="387"/>
      <c r="S94" s="387"/>
      <c r="T94" s="387"/>
      <c r="U94" s="387"/>
      <c r="V94" s="387"/>
      <c r="W94" s="387"/>
      <c r="X94" s="387"/>
      <c r="Y94" s="387"/>
      <c r="Z94" s="387"/>
    </row>
    <row r="95">
      <c r="A95" s="195" t="s">
        <v>91</v>
      </c>
      <c r="B95" s="196" t="str">
        <f>IF('WEEK 2'!F95&lt;10,'WEEK 3 '!B90,IF('WEEK 3 '!F98&gt;=10,'WEEK 3 '!B93,'WEEK 3 '!B92))</f>
        <v>#REF!</v>
      </c>
      <c r="C95" s="7"/>
      <c r="D95" s="7"/>
      <c r="E95" s="7"/>
      <c r="F95" s="197"/>
      <c r="G95" s="108"/>
      <c r="H95" s="108"/>
      <c r="I95" s="108"/>
      <c r="J95" s="108"/>
      <c r="K95" s="108"/>
      <c r="L95" s="748"/>
      <c r="M95" s="108"/>
      <c r="N95" s="387"/>
      <c r="O95" s="387"/>
      <c r="P95" s="387"/>
      <c r="Q95" s="387"/>
      <c r="R95" s="387"/>
      <c r="S95" s="387"/>
      <c r="T95" s="387"/>
      <c r="U95" s="387"/>
      <c r="V95" s="387"/>
      <c r="W95" s="387"/>
      <c r="X95" s="387"/>
      <c r="Y95" s="387"/>
      <c r="Z95" s="387"/>
    </row>
    <row r="96">
      <c r="A96" s="749"/>
      <c r="B96" s="749"/>
      <c r="C96" s="749"/>
      <c r="D96" s="749"/>
      <c r="E96" s="750"/>
      <c r="F96" s="751"/>
      <c r="G96" s="108"/>
      <c r="H96" s="108"/>
      <c r="I96" s="108"/>
      <c r="J96" s="108"/>
      <c r="K96" s="108"/>
      <c r="L96" s="748"/>
      <c r="M96" s="108"/>
      <c r="N96" s="387"/>
      <c r="O96" s="387"/>
      <c r="P96" s="387"/>
      <c r="Q96" s="387"/>
      <c r="R96" s="387"/>
      <c r="S96" s="387"/>
      <c r="T96" s="387"/>
      <c r="U96" s="387"/>
      <c r="V96" s="387"/>
      <c r="W96" s="387"/>
      <c r="X96" s="387"/>
      <c r="Y96" s="387"/>
      <c r="Z96" s="387"/>
    </row>
    <row r="97">
      <c r="A97" s="655"/>
      <c r="B97" s="655"/>
      <c r="C97" s="655"/>
      <c r="D97" s="655"/>
      <c r="E97" s="752"/>
      <c r="F97" s="753"/>
      <c r="G97" s="108"/>
      <c r="H97" s="108"/>
      <c r="I97" s="108"/>
      <c r="J97" s="108"/>
      <c r="K97" s="108"/>
      <c r="L97" s="748"/>
      <c r="M97" s="108"/>
      <c r="N97" s="387"/>
      <c r="O97" s="387"/>
      <c r="P97" s="387"/>
      <c r="Q97" s="387"/>
      <c r="R97" s="387"/>
      <c r="S97" s="387"/>
      <c r="T97" s="387"/>
      <c r="U97" s="387"/>
      <c r="V97" s="387"/>
      <c r="W97" s="387"/>
      <c r="X97" s="387"/>
      <c r="Y97" s="387"/>
      <c r="Z97" s="387"/>
    </row>
    <row r="98" ht="17.25" customHeight="1">
      <c r="A98" s="290" t="str">
        <f>HYPERLINK("https://youtu.be/XepOfsnGFJg","3. LEG CURL")</f>
        <v>3. LEG CURL</v>
      </c>
      <c r="B98" s="44"/>
      <c r="C98" s="44"/>
      <c r="D98" s="44"/>
      <c r="E98" s="44"/>
      <c r="F98" s="45"/>
      <c r="G98" s="108"/>
      <c r="H98" s="290" t="str">
        <f>HYPERLINK("https://youtu.be/kmN9cJ79PDE","3. PRONE LEG CURL")</f>
        <v>3. PRONE LEG CURL</v>
      </c>
      <c r="I98" s="44"/>
      <c r="J98" s="44"/>
      <c r="K98" s="44"/>
      <c r="L98" s="44"/>
      <c r="M98" s="45"/>
      <c r="N98" s="387"/>
      <c r="O98" s="387"/>
      <c r="P98" s="387"/>
      <c r="Q98" s="387"/>
      <c r="R98" s="387"/>
      <c r="S98" s="387"/>
      <c r="T98" s="387"/>
      <c r="U98" s="387"/>
      <c r="V98" s="387"/>
      <c r="W98" s="387"/>
      <c r="X98" s="387"/>
      <c r="Y98" s="387"/>
      <c r="Z98" s="387"/>
    </row>
    <row r="99" ht="17.25" customHeight="1">
      <c r="A99" s="193" t="s">
        <v>86</v>
      </c>
      <c r="B99" s="81">
        <v>95.0</v>
      </c>
      <c r="C99" s="4"/>
      <c r="D99" s="4"/>
      <c r="E99" s="4"/>
      <c r="F99" s="48"/>
      <c r="G99" s="108"/>
      <c r="H99" s="193" t="s">
        <v>86</v>
      </c>
      <c r="I99" s="81" t="str">
        <f>IF('WEEK 2'!I111='WEEK 2'!I113,'WEEK 2'!I111+5,IF('WEEK 2'!M111&lt;=9,MROUND('WEEK 2'!I109*0.95,5),'WEEK 2'!I111))</f>
        <v>#REF!</v>
      </c>
      <c r="J99" s="4"/>
      <c r="K99" s="4"/>
      <c r="L99" s="4"/>
      <c r="M99" s="48"/>
      <c r="N99" s="387"/>
      <c r="O99" s="387"/>
      <c r="P99" s="387"/>
      <c r="Q99" s="387"/>
      <c r="R99" s="387"/>
      <c r="S99" s="387"/>
      <c r="T99" s="387"/>
      <c r="U99" s="387"/>
      <c r="V99" s="387"/>
      <c r="W99" s="387"/>
      <c r="X99" s="387"/>
      <c r="Y99" s="387"/>
      <c r="Z99" s="387"/>
    </row>
    <row r="100" ht="17.25" customHeight="1">
      <c r="A100" s="87" t="s">
        <v>18</v>
      </c>
      <c r="B100" s="88" t="s">
        <v>19</v>
      </c>
      <c r="C100" s="88" t="s">
        <v>20</v>
      </c>
      <c r="D100" s="88" t="s">
        <v>21</v>
      </c>
      <c r="E100" s="89" t="s">
        <v>22</v>
      </c>
      <c r="F100" s="202" t="s">
        <v>23</v>
      </c>
      <c r="G100" s="108"/>
      <c r="H100" s="87" t="s">
        <v>18</v>
      </c>
      <c r="I100" s="88" t="s">
        <v>19</v>
      </c>
      <c r="J100" s="88" t="s">
        <v>20</v>
      </c>
      <c r="K100" s="754" t="s">
        <v>21</v>
      </c>
      <c r="L100" s="89" t="s">
        <v>22</v>
      </c>
      <c r="M100" s="202" t="s">
        <v>23</v>
      </c>
      <c r="N100" s="387"/>
      <c r="O100" s="387"/>
      <c r="P100" s="387"/>
      <c r="Q100" s="387"/>
      <c r="R100" s="387"/>
      <c r="S100" s="387"/>
      <c r="T100" s="387"/>
      <c r="U100" s="387"/>
      <c r="V100" s="387"/>
      <c r="W100" s="387"/>
      <c r="X100" s="387"/>
      <c r="Y100" s="387"/>
      <c r="Z100" s="387"/>
    </row>
    <row r="101" ht="17.25" customHeight="1">
      <c r="A101" s="319">
        <v>1.0</v>
      </c>
      <c r="B101" s="204" t="str">
        <f>if('WEEK 2'!B112='WEEK 2'!B113,'WEEK 3 '!B99,'WEEK 3 '!B99)</f>
        <v>#REF!</v>
      </c>
      <c r="C101" s="671" t="s">
        <v>29</v>
      </c>
      <c r="D101" s="317" t="s">
        <v>25</v>
      </c>
      <c r="E101" s="420"/>
      <c r="F101" s="76"/>
      <c r="G101" s="403" t="s">
        <v>90</v>
      </c>
      <c r="H101" s="209">
        <v>1.0</v>
      </c>
      <c r="I101" s="90" t="str">
        <f>if('WEEK 2'!I112='WEEK 2'!I113,'WEEK 3 '!I99,'WEEK 3 '!I99)</f>
        <v>#REF!</v>
      </c>
      <c r="J101" s="671" t="s">
        <v>29</v>
      </c>
      <c r="K101" s="755" t="s">
        <v>25</v>
      </c>
      <c r="L101" s="91"/>
      <c r="M101" s="76"/>
      <c r="N101" s="387"/>
      <c r="O101" s="387"/>
      <c r="P101" s="387"/>
      <c r="Q101" s="387"/>
      <c r="R101" s="387"/>
      <c r="S101" s="387"/>
      <c r="T101" s="387"/>
      <c r="U101" s="387"/>
      <c r="V101" s="387"/>
      <c r="W101" s="387"/>
      <c r="X101" s="387"/>
      <c r="Y101" s="387"/>
      <c r="Z101" s="387"/>
    </row>
    <row r="102" ht="17.25" customHeight="1">
      <c r="A102" s="319">
        <v>2.0</v>
      </c>
      <c r="B102" s="204" t="str">
        <f t="shared" ref="B102:B103" si="7">if('WEEK 3 '!F101&lt;8,mround('WEEK 3 '!B101*0.8,5),IF('WEEK 3 '!F101&lt;=14,MROUND('WEEK 3 '!B101*0.95,5),'WEEK 3 '!B101))</f>
        <v>#REF!</v>
      </c>
      <c r="C102" s="671" t="s">
        <v>29</v>
      </c>
      <c r="D102" s="317" t="s">
        <v>25</v>
      </c>
      <c r="E102" s="657"/>
      <c r="F102" s="76"/>
      <c r="H102" s="209">
        <v>2.0</v>
      </c>
      <c r="I102" s="73" t="str">
        <f>if('WEEK 3 '!M101&lt;5,mround('WEEK 3 '!I101*0.8,5),IF('WEEK 3 '!M101&lt;=10,MROUND('WEEK 3 '!I101*0.95,5),'WEEK 3 '!I101))</f>
        <v>#REF!</v>
      </c>
      <c r="J102" s="671" t="s">
        <v>29</v>
      </c>
      <c r="K102" s="755" t="s">
        <v>25</v>
      </c>
      <c r="L102" s="318"/>
      <c r="M102" s="76"/>
      <c r="N102" s="387"/>
      <c r="O102" s="387"/>
      <c r="P102" s="387"/>
      <c r="Q102" s="387"/>
      <c r="R102" s="387"/>
      <c r="S102" s="387"/>
      <c r="T102" s="387"/>
      <c r="U102" s="387"/>
      <c r="V102" s="387"/>
      <c r="W102" s="387"/>
      <c r="X102" s="387"/>
      <c r="Y102" s="387"/>
      <c r="Z102" s="387"/>
    </row>
    <row r="103" ht="17.25" customHeight="1">
      <c r="A103" s="319">
        <v>3.0</v>
      </c>
      <c r="B103" s="204" t="str">
        <f t="shared" si="7"/>
        <v>#REF!</v>
      </c>
      <c r="C103" s="671" t="s">
        <v>29</v>
      </c>
      <c r="D103" s="317" t="s">
        <v>25</v>
      </c>
      <c r="E103" s="420"/>
      <c r="F103" s="76"/>
      <c r="G103" s="660"/>
      <c r="H103" s="209">
        <v>3.0</v>
      </c>
      <c r="I103" s="73" t="str">
        <f>if('WEEK 3 '!M102&lt;4,mround('WEEK 3 '!I102*0.8,5),IF('WEEK 3 '!M102&lt;=10,MROUND('WEEK 3 '!I102*0.95,5),'WEEK 3 '!I102))</f>
        <v>#REF!</v>
      </c>
      <c r="J103" s="671" t="s">
        <v>29</v>
      </c>
      <c r="K103" s="755" t="s">
        <v>25</v>
      </c>
      <c r="L103" s="318"/>
      <c r="M103" s="76"/>
      <c r="N103" s="387"/>
      <c r="O103" s="387"/>
      <c r="P103" s="387"/>
      <c r="Q103" s="387"/>
      <c r="R103" s="387"/>
      <c r="S103" s="387"/>
      <c r="T103" s="387"/>
      <c r="U103" s="387"/>
      <c r="V103" s="387"/>
      <c r="W103" s="387"/>
      <c r="X103" s="387"/>
      <c r="Y103" s="387"/>
      <c r="Z103" s="387"/>
    </row>
    <row r="104" ht="17.25" customHeight="1">
      <c r="A104" s="239" t="s">
        <v>91</v>
      </c>
      <c r="B104" s="299" t="str">
        <f>IF('WEEK 2'!F104&lt;10,'WEEK 3 '!B99,IF('WEEK 2'!F105&gt;=10,'WEEK 3 '!B102,'WEEK 3 '!B101))</f>
        <v>#REF!</v>
      </c>
      <c r="C104" s="24"/>
      <c r="D104" s="24"/>
      <c r="E104" s="24"/>
      <c r="F104" s="25"/>
      <c r="G104" s="108"/>
      <c r="H104" s="239" t="s">
        <v>91</v>
      </c>
      <c r="I104" s="299" t="str">
        <f>IF('WEEK 2'!M104&lt;10,'WEEK 3 '!I99,IF('WEEK 2'!M105&gt;=10,'WEEK 3 '!I102,'WEEK 3 '!I101))</f>
        <v>#REF!</v>
      </c>
      <c r="J104" s="24"/>
      <c r="K104" s="24"/>
      <c r="L104" s="24"/>
      <c r="M104" s="25"/>
      <c r="N104" s="387"/>
      <c r="O104" s="387"/>
      <c r="P104" s="387"/>
      <c r="Q104" s="387"/>
      <c r="R104" s="387"/>
      <c r="S104" s="387"/>
      <c r="T104" s="387"/>
      <c r="U104" s="387"/>
      <c r="V104" s="387"/>
      <c r="W104" s="387"/>
      <c r="X104" s="387"/>
      <c r="Y104" s="387"/>
      <c r="Z104" s="387"/>
    </row>
    <row r="105" ht="17.25" customHeight="1">
      <c r="A105" s="387"/>
      <c r="B105" s="387"/>
      <c r="C105" s="387"/>
      <c r="D105" s="387"/>
      <c r="E105" s="695"/>
      <c r="F105" s="387"/>
      <c r="G105" s="387"/>
      <c r="H105" s="387"/>
      <c r="I105" s="387"/>
      <c r="J105" s="387"/>
      <c r="K105" s="387"/>
      <c r="L105" s="695"/>
      <c r="M105" s="387"/>
      <c r="N105" s="387"/>
      <c r="O105" s="387"/>
      <c r="P105" s="387"/>
      <c r="Q105" s="387"/>
      <c r="R105" s="387"/>
      <c r="S105" s="387"/>
      <c r="T105" s="387"/>
      <c r="U105" s="387"/>
      <c r="V105" s="387"/>
      <c r="W105" s="387"/>
      <c r="X105" s="387"/>
      <c r="Y105" s="387"/>
      <c r="Z105" s="387"/>
    </row>
    <row r="106" ht="17.25" customHeight="1">
      <c r="A106" s="277" t="str">
        <f>HYPERLINK("https://docs.google.com/a/fitnessresults.com/forms/d/e/1FAIpQLSd7MoczESe8Yjv6BKpmwAZGn9Aiymrs9-UdgfYIUpbr9t5NXg/viewform?usp=pp_url&amp;entry.93370101","CLICK TO COMPLETE WORKOUT")</f>
        <v>CLICK TO COMPLETE WORKOUT</v>
      </c>
      <c r="B106" s="27"/>
      <c r="C106" s="27"/>
      <c r="D106" s="27"/>
      <c r="E106" s="27"/>
      <c r="F106" s="28"/>
      <c r="G106" s="387"/>
      <c r="H106" s="387"/>
      <c r="I106" s="387"/>
      <c r="J106" s="387"/>
      <c r="K106" s="387"/>
      <c r="L106" s="695"/>
      <c r="M106" s="387"/>
      <c r="N106" s="387"/>
      <c r="O106" s="387"/>
      <c r="P106" s="387"/>
      <c r="Q106" s="387"/>
      <c r="R106" s="387"/>
      <c r="S106" s="387"/>
      <c r="T106" s="387"/>
      <c r="U106" s="387"/>
      <c r="V106" s="387"/>
      <c r="W106" s="387"/>
      <c r="X106" s="387"/>
      <c r="Y106" s="387"/>
      <c r="Z106" s="387"/>
    </row>
    <row r="107" ht="17.25" customHeight="1">
      <c r="A107" s="387"/>
      <c r="B107" s="387"/>
      <c r="C107" s="387"/>
      <c r="D107" s="387"/>
      <c r="E107" s="695"/>
      <c r="F107" s="387"/>
      <c r="G107" s="387"/>
      <c r="H107" s="387"/>
      <c r="I107" s="387"/>
      <c r="J107" s="387"/>
      <c r="K107" s="387"/>
      <c r="L107" s="695"/>
      <c r="M107" s="387"/>
      <c r="N107" s="387"/>
      <c r="O107" s="387"/>
      <c r="P107" s="387"/>
      <c r="Q107" s="387"/>
      <c r="R107" s="387"/>
      <c r="S107" s="387"/>
      <c r="T107" s="387"/>
      <c r="U107" s="387"/>
      <c r="V107" s="387"/>
      <c r="W107" s="387"/>
      <c r="X107" s="387"/>
      <c r="Y107" s="387"/>
      <c r="Z107" s="387"/>
    </row>
    <row r="108">
      <c r="A108" s="41" t="s">
        <v>30</v>
      </c>
      <c r="B108" s="27"/>
      <c r="C108" s="27"/>
      <c r="D108" s="27"/>
      <c r="E108" s="27"/>
      <c r="F108" s="28"/>
      <c r="G108" s="387"/>
      <c r="H108" s="387"/>
      <c r="I108" s="387"/>
      <c r="J108" s="387"/>
      <c r="K108" s="387"/>
      <c r="L108" s="695"/>
      <c r="M108" s="387"/>
      <c r="N108" s="387"/>
      <c r="O108" s="387"/>
      <c r="P108" s="387"/>
      <c r="Q108" s="387"/>
      <c r="R108" s="387"/>
      <c r="S108" s="387"/>
      <c r="T108" s="387"/>
      <c r="U108" s="387"/>
      <c r="V108" s="387"/>
      <c r="W108" s="387"/>
      <c r="X108" s="387"/>
      <c r="Y108" s="387"/>
      <c r="Z108" s="387"/>
    </row>
    <row r="109">
      <c r="A109" s="632"/>
      <c r="B109" s="632"/>
      <c r="C109" s="632"/>
      <c r="D109" s="632"/>
      <c r="E109" s="632"/>
      <c r="F109" s="632"/>
      <c r="G109" s="387"/>
      <c r="H109" s="387"/>
      <c r="I109" s="387"/>
      <c r="J109" s="387"/>
      <c r="K109" s="387"/>
      <c r="L109" s="695"/>
      <c r="M109" s="387"/>
      <c r="N109" s="387"/>
      <c r="O109" s="387"/>
      <c r="P109" s="387"/>
      <c r="Q109" s="387"/>
      <c r="R109" s="387"/>
      <c r="S109" s="387"/>
      <c r="T109" s="387"/>
      <c r="U109" s="387"/>
      <c r="V109" s="387"/>
      <c r="W109" s="387"/>
      <c r="X109" s="387"/>
      <c r="Y109" s="387"/>
      <c r="Z109" s="387"/>
    </row>
    <row r="110">
      <c r="A110" s="632"/>
      <c r="B110" s="632"/>
      <c r="C110" s="632"/>
      <c r="D110" s="632"/>
      <c r="E110" s="632"/>
      <c r="F110" s="632"/>
      <c r="G110" s="387"/>
      <c r="H110" s="387"/>
      <c r="I110" s="387"/>
      <c r="J110" s="387"/>
      <c r="K110" s="387"/>
      <c r="L110" s="695"/>
      <c r="M110" s="387"/>
      <c r="N110" s="387"/>
      <c r="O110" s="387"/>
      <c r="P110" s="387"/>
      <c r="Q110" s="387"/>
      <c r="R110" s="387"/>
      <c r="S110" s="387"/>
      <c r="T110" s="387"/>
      <c r="U110" s="387"/>
      <c r="V110" s="387"/>
      <c r="W110" s="387"/>
      <c r="X110" s="387"/>
      <c r="Y110" s="387"/>
      <c r="Z110" s="387"/>
    </row>
    <row r="111">
      <c r="A111" s="42" t="s">
        <v>98</v>
      </c>
      <c r="B111" s="27"/>
      <c r="C111" s="27"/>
      <c r="D111" s="27"/>
      <c r="E111" s="27"/>
      <c r="F111" s="28"/>
      <c r="G111" s="387"/>
      <c r="H111" s="42" t="s">
        <v>98</v>
      </c>
      <c r="I111" s="27"/>
      <c r="J111" s="27"/>
      <c r="K111" s="27"/>
      <c r="L111" s="27"/>
      <c r="M111" s="28"/>
      <c r="N111" s="387"/>
      <c r="O111" s="387"/>
      <c r="P111" s="387"/>
      <c r="Q111" s="387"/>
      <c r="R111" s="387"/>
      <c r="S111" s="387"/>
      <c r="T111" s="387"/>
      <c r="U111" s="387"/>
      <c r="V111" s="387"/>
      <c r="W111" s="387"/>
      <c r="X111" s="387"/>
      <c r="Y111" s="387"/>
      <c r="Z111" s="387"/>
    </row>
    <row r="112">
      <c r="A112" s="636" t="str">
        <f>HYPERLINK("https://youtu.be/rmxOkkd2hUk","1. SHOULDER PRESS")</f>
        <v>1. SHOULDER PRESS</v>
      </c>
      <c r="B112" s="44"/>
      <c r="C112" s="44"/>
      <c r="D112" s="44"/>
      <c r="E112" s="44"/>
      <c r="F112" s="45"/>
      <c r="G112" s="387"/>
      <c r="H112" s="756" t="str">
        <f>HYPERLINK("https://www.youtube.com/watch?v=-cSBPE-y38M","1. MACHINE SHOULDER PRESS")</f>
        <v>1. MACHINE SHOULDER PRESS</v>
      </c>
      <c r="I112" s="44"/>
      <c r="J112" s="44"/>
      <c r="K112" s="44"/>
      <c r="L112" s="44"/>
      <c r="M112" s="45"/>
      <c r="N112" s="387"/>
      <c r="O112" s="387"/>
      <c r="P112" s="387"/>
      <c r="Q112" s="387"/>
      <c r="R112" s="387"/>
      <c r="S112" s="387"/>
      <c r="T112" s="387"/>
      <c r="U112" s="387"/>
      <c r="V112" s="387"/>
      <c r="W112" s="387"/>
      <c r="X112" s="387"/>
      <c r="Y112" s="387"/>
      <c r="Z112" s="387"/>
    </row>
    <row r="113">
      <c r="A113" s="565" t="s">
        <v>86</v>
      </c>
      <c r="B113" s="194">
        <v>80.0</v>
      </c>
      <c r="C113" s="11"/>
      <c r="D113" s="11"/>
      <c r="E113" s="11"/>
      <c r="F113" s="86"/>
      <c r="G113" s="387"/>
      <c r="H113" s="193" t="s">
        <v>116</v>
      </c>
      <c r="I113" s="194" t="str">
        <f>IF('WEEK 1 '!I122="",B113,'WEEK 1 '!I122)</f>
        <v>#REF!</v>
      </c>
      <c r="J113" s="11"/>
      <c r="K113" s="11"/>
      <c r="L113" s="11"/>
      <c r="M113" s="86"/>
      <c r="N113" s="387"/>
      <c r="O113" s="387"/>
      <c r="P113" s="387"/>
      <c r="Q113" s="387"/>
      <c r="R113" s="387"/>
      <c r="S113" s="387"/>
      <c r="T113" s="387"/>
      <c r="U113" s="387"/>
      <c r="V113" s="387"/>
      <c r="W113" s="387"/>
      <c r="X113" s="387"/>
      <c r="Y113" s="387"/>
      <c r="Z113" s="387"/>
    </row>
    <row r="114">
      <c r="A114" s="331" t="s">
        <v>18</v>
      </c>
      <c r="B114" s="332" t="s">
        <v>19</v>
      </c>
      <c r="C114" s="332" t="s">
        <v>20</v>
      </c>
      <c r="D114" s="332" t="s">
        <v>21</v>
      </c>
      <c r="E114" s="584" t="s">
        <v>22</v>
      </c>
      <c r="F114" s="52" t="s">
        <v>23</v>
      </c>
      <c r="G114" s="702"/>
      <c r="H114" s="331" t="s">
        <v>18</v>
      </c>
      <c r="I114" s="332" t="s">
        <v>19</v>
      </c>
      <c r="J114" s="332" t="s">
        <v>20</v>
      </c>
      <c r="K114" s="332" t="s">
        <v>21</v>
      </c>
      <c r="L114" s="584" t="s">
        <v>22</v>
      </c>
      <c r="M114" s="52" t="s">
        <v>23</v>
      </c>
      <c r="N114" s="702"/>
      <c r="O114" s="702"/>
      <c r="P114" s="702"/>
      <c r="Q114" s="702"/>
      <c r="R114" s="702"/>
      <c r="S114" s="702"/>
      <c r="T114" s="702"/>
      <c r="U114" s="702"/>
      <c r="V114" s="702"/>
      <c r="W114" s="702"/>
      <c r="X114" s="702"/>
      <c r="Y114" s="702"/>
      <c r="Z114" s="702"/>
    </row>
    <row r="115">
      <c r="A115" s="203">
        <v>1.0</v>
      </c>
      <c r="B115" s="204" t="str">
        <f>mround('WEEK 3 '!B113*0.35,5)</f>
        <v>#REF!</v>
      </c>
      <c r="C115" s="204">
        <v>6.0</v>
      </c>
      <c r="D115" s="205" t="s">
        <v>87</v>
      </c>
      <c r="E115" s="57"/>
      <c r="F115" s="58"/>
      <c r="G115" s="706"/>
      <c r="H115" s="203">
        <v>1.0</v>
      </c>
      <c r="I115" s="204" t="str">
        <f>MROUND((I113*0.4+I113)*0.35,5)</f>
        <v>#REF!</v>
      </c>
      <c r="J115" s="204">
        <v>6.0</v>
      </c>
      <c r="K115" s="205" t="s">
        <v>87</v>
      </c>
      <c r="L115" s="57"/>
      <c r="M115" s="58"/>
      <c r="N115" s="706"/>
      <c r="O115" s="706"/>
      <c r="P115" s="706"/>
      <c r="Q115" s="706"/>
      <c r="R115" s="706"/>
      <c r="S115" s="706"/>
      <c r="T115" s="706"/>
      <c r="U115" s="706"/>
      <c r="V115" s="706"/>
      <c r="W115" s="706"/>
      <c r="X115" s="706"/>
      <c r="Y115" s="706"/>
      <c r="Z115" s="706"/>
    </row>
    <row r="116">
      <c r="A116" s="203">
        <v>2.0</v>
      </c>
      <c r="B116" s="204" t="str">
        <f>mround('WEEK 3 '!B113*0.65,5)</f>
        <v>#REF!</v>
      </c>
      <c r="C116" s="204">
        <v>1.0</v>
      </c>
      <c r="D116" s="205" t="s">
        <v>25</v>
      </c>
      <c r="E116" s="57"/>
      <c r="F116" s="58"/>
      <c r="G116" s="706"/>
      <c r="H116" s="203">
        <v>2.0</v>
      </c>
      <c r="I116" s="204" t="str">
        <f>mround('WEEK 3 '!I113*0.65,5)</f>
        <v>#REF!</v>
      </c>
      <c r="J116" s="204">
        <v>1.0</v>
      </c>
      <c r="K116" s="205" t="s">
        <v>25</v>
      </c>
      <c r="L116" s="57"/>
      <c r="M116" s="58"/>
      <c r="N116" s="706"/>
      <c r="O116" s="706"/>
      <c r="P116" s="706"/>
      <c r="Q116" s="706"/>
      <c r="R116" s="706"/>
      <c r="S116" s="706"/>
      <c r="T116" s="706"/>
      <c r="U116" s="706"/>
      <c r="V116" s="706"/>
      <c r="W116" s="706"/>
      <c r="X116" s="706"/>
      <c r="Y116" s="706"/>
      <c r="Z116" s="706"/>
    </row>
    <row r="117">
      <c r="A117" s="757">
        <v>3.0</v>
      </c>
      <c r="B117" s="758">
        <f> mround(B113*0.9,5)</f>
        <v>70</v>
      </c>
      <c r="C117" s="759" t="s">
        <v>33</v>
      </c>
      <c r="D117" s="760" t="s">
        <v>25</v>
      </c>
      <c r="E117" s="761"/>
      <c r="F117" s="762"/>
      <c r="G117" s="706"/>
      <c r="H117" s="757">
        <v>3.0</v>
      </c>
      <c r="I117" s="758" t="str">
        <f> mround(I113*0.9,5)</f>
        <v>#REF!</v>
      </c>
      <c r="J117" s="759" t="s">
        <v>33</v>
      </c>
      <c r="K117" s="760" t="s">
        <v>25</v>
      </c>
      <c r="L117" s="761"/>
      <c r="M117" s="762"/>
      <c r="N117" s="706"/>
      <c r="O117" s="706"/>
      <c r="P117" s="706"/>
      <c r="Q117" s="706"/>
      <c r="R117" s="706"/>
      <c r="S117" s="706"/>
      <c r="T117" s="706"/>
      <c r="U117" s="706"/>
      <c r="V117" s="706"/>
      <c r="W117" s="706"/>
      <c r="X117" s="706"/>
      <c r="Y117" s="706"/>
      <c r="Z117" s="706"/>
    </row>
    <row r="118">
      <c r="A118" s="763">
        <v>4.0</v>
      </c>
      <c r="B118" s="356">
        <f>if(F117&lt;20,mround(B117*0.9,5),B117)</f>
        <v>65</v>
      </c>
      <c r="C118" s="759" t="s">
        <v>33</v>
      </c>
      <c r="D118" s="358" t="s">
        <v>25</v>
      </c>
      <c r="E118" s="764"/>
      <c r="F118" s="360"/>
      <c r="G118" s="706"/>
      <c r="H118" s="763">
        <v>4.0</v>
      </c>
      <c r="I118" s="356" t="str">
        <f>if(M117&lt;20,mround(I117*0.9,5),I117)</f>
        <v>#REF!</v>
      </c>
      <c r="J118" s="759" t="s">
        <v>33</v>
      </c>
      <c r="K118" s="358" t="s">
        <v>25</v>
      </c>
      <c r="L118" s="764"/>
      <c r="M118" s="360"/>
      <c r="N118" s="706"/>
      <c r="O118" s="706"/>
      <c r="P118" s="706"/>
      <c r="Q118" s="706"/>
      <c r="R118" s="706"/>
      <c r="S118" s="706"/>
      <c r="T118" s="706"/>
      <c r="U118" s="706"/>
      <c r="V118" s="706"/>
      <c r="W118" s="706"/>
      <c r="X118" s="706"/>
      <c r="Y118" s="706"/>
      <c r="Z118" s="706"/>
    </row>
    <row r="119">
      <c r="A119" s="765">
        <v>5.0</v>
      </c>
      <c r="B119" s="766">
        <f>if(F118&lt;20,mround(B118*0.85,2.5),B118)</f>
        <v>55</v>
      </c>
      <c r="C119" s="767" t="s">
        <v>33</v>
      </c>
      <c r="D119" s="365" t="s">
        <v>25</v>
      </c>
      <c r="E119" s="768"/>
      <c r="F119" s="360"/>
      <c r="G119" s="702"/>
      <c r="H119" s="765">
        <v>5.0</v>
      </c>
      <c r="I119" s="766" t="str">
        <f>if(M118&lt;20,mround(I118*0.85,2.5),I118)</f>
        <v>#REF!</v>
      </c>
      <c r="J119" s="767" t="s">
        <v>33</v>
      </c>
      <c r="K119" s="365" t="s">
        <v>25</v>
      </c>
      <c r="L119" s="768"/>
      <c r="M119" s="360"/>
      <c r="N119" s="702"/>
      <c r="O119" s="702"/>
      <c r="P119" s="702"/>
      <c r="Q119" s="702"/>
      <c r="R119" s="702"/>
      <c r="S119" s="702"/>
      <c r="T119" s="702"/>
      <c r="U119" s="702"/>
      <c r="V119" s="702"/>
      <c r="W119" s="702"/>
      <c r="X119" s="702"/>
      <c r="Y119" s="702"/>
      <c r="Z119" s="702"/>
    </row>
    <row r="120">
      <c r="A120" s="769"/>
      <c r="B120" s="769"/>
      <c r="C120" s="769"/>
      <c r="D120" s="770"/>
      <c r="E120" s="771"/>
      <c r="F120" s="770"/>
      <c r="G120" s="387"/>
      <c r="H120" s="387"/>
      <c r="I120" s="387"/>
      <c r="J120" s="387"/>
      <c r="K120" s="387"/>
      <c r="L120" s="695"/>
      <c r="M120" s="387"/>
      <c r="N120" s="387"/>
      <c r="O120" s="387"/>
      <c r="P120" s="387"/>
      <c r="Q120" s="387"/>
      <c r="R120" s="387"/>
      <c r="S120" s="387"/>
      <c r="T120" s="387"/>
      <c r="U120" s="387"/>
      <c r="V120" s="387"/>
      <c r="W120" s="387"/>
      <c r="X120" s="387"/>
      <c r="Y120" s="387"/>
      <c r="Z120" s="387"/>
    </row>
    <row r="121">
      <c r="A121" s="769"/>
      <c r="B121" s="769"/>
      <c r="C121" s="769"/>
      <c r="D121" s="770"/>
      <c r="E121" s="771"/>
      <c r="F121" s="770"/>
      <c r="G121" s="387"/>
      <c r="H121" s="387"/>
      <c r="I121" s="387"/>
      <c r="J121" s="387"/>
      <c r="K121" s="387"/>
      <c r="L121" s="695"/>
      <c r="M121" s="387"/>
      <c r="N121" s="387"/>
      <c r="O121" s="387"/>
      <c r="P121" s="387"/>
      <c r="Q121" s="387"/>
      <c r="R121" s="387"/>
      <c r="S121" s="387"/>
      <c r="T121" s="387"/>
      <c r="U121" s="387"/>
      <c r="V121" s="387"/>
      <c r="W121" s="387"/>
      <c r="X121" s="387"/>
      <c r="Y121" s="387"/>
      <c r="Z121" s="387"/>
    </row>
    <row r="122">
      <c r="A122" s="665" t="str">
        <f>HYPERLINK("https://www.youtube.com/watch?v=XDLQt1j3qUU","2. Dumbbell REAR DELT FLY ")</f>
        <v>2. Dumbbell REAR DELT FLY </v>
      </c>
      <c r="B122" s="44"/>
      <c r="C122" s="44"/>
      <c r="D122" s="44"/>
      <c r="E122" s="44"/>
      <c r="F122" s="45"/>
      <c r="G122" s="387"/>
      <c r="H122" s="387"/>
      <c r="I122" s="387"/>
      <c r="J122" s="387"/>
      <c r="K122" s="387"/>
      <c r="L122" s="695"/>
      <c r="M122" s="387"/>
      <c r="N122" s="387"/>
      <c r="O122" s="387"/>
      <c r="P122" s="387"/>
      <c r="Q122" s="387"/>
      <c r="R122" s="387"/>
      <c r="S122" s="387"/>
      <c r="T122" s="387"/>
      <c r="U122" s="387"/>
      <c r="V122" s="387"/>
      <c r="W122" s="387"/>
      <c r="X122" s="387"/>
      <c r="Y122" s="387"/>
      <c r="Z122" s="387"/>
    </row>
    <row r="123">
      <c r="A123" s="193" t="s">
        <v>116</v>
      </c>
      <c r="B123" s="669" t="str">
        <f>('WEEK 3 '!B113)</f>
        <v>#REF!</v>
      </c>
      <c r="C123" s="4"/>
      <c r="D123" s="4"/>
      <c r="E123" s="4"/>
      <c r="F123" s="48"/>
      <c r="G123" s="387"/>
      <c r="H123" s="387"/>
      <c r="I123" s="387"/>
      <c r="J123" s="387"/>
      <c r="K123" s="387"/>
      <c r="L123" s="695"/>
      <c r="M123" s="387"/>
      <c r="N123" s="387"/>
      <c r="O123" s="387"/>
      <c r="P123" s="387"/>
      <c r="Q123" s="387"/>
      <c r="R123" s="387"/>
      <c r="S123" s="387"/>
      <c r="T123" s="387"/>
      <c r="U123" s="387"/>
      <c r="V123" s="387"/>
      <c r="W123" s="387"/>
      <c r="X123" s="387"/>
      <c r="Y123" s="387"/>
      <c r="Z123" s="387"/>
    </row>
    <row r="124">
      <c r="A124" s="87" t="s">
        <v>18</v>
      </c>
      <c r="B124" s="88" t="s">
        <v>19</v>
      </c>
      <c r="C124" s="88" t="s">
        <v>20</v>
      </c>
      <c r="D124" s="88" t="s">
        <v>21</v>
      </c>
      <c r="E124" s="308" t="s">
        <v>22</v>
      </c>
      <c r="F124" s="202" t="s">
        <v>23</v>
      </c>
      <c r="G124" s="702"/>
      <c r="H124" s="702"/>
      <c r="I124" s="702"/>
      <c r="J124" s="702"/>
      <c r="K124" s="702"/>
      <c r="L124" s="726"/>
      <c r="M124" s="702"/>
      <c r="N124" s="702"/>
      <c r="O124" s="702"/>
      <c r="P124" s="702"/>
      <c r="Q124" s="702"/>
      <c r="R124" s="702"/>
      <c r="S124" s="702"/>
      <c r="T124" s="702"/>
      <c r="U124" s="702"/>
      <c r="V124" s="702"/>
      <c r="W124" s="702"/>
      <c r="X124" s="702"/>
      <c r="Y124" s="702"/>
      <c r="Z124" s="702"/>
    </row>
    <row r="125">
      <c r="A125" s="532">
        <v>1.0</v>
      </c>
      <c r="B125" s="204" t="str">
        <f>MROUND('WEEK 3 '!B123*0.9*0.2,2.5)</f>
        <v>#REF!</v>
      </c>
      <c r="C125" s="56" t="s">
        <v>29</v>
      </c>
      <c r="D125" s="671" t="s">
        <v>94</v>
      </c>
      <c r="E125" s="313"/>
      <c r="F125" s="672"/>
      <c r="G125" s="706"/>
      <c r="H125" s="706"/>
      <c r="I125" s="706"/>
      <c r="J125" s="706"/>
      <c r="K125" s="706"/>
      <c r="L125" s="727"/>
      <c r="M125" s="706"/>
      <c r="N125" s="706"/>
      <c r="O125" s="706"/>
      <c r="P125" s="706"/>
      <c r="Q125" s="706"/>
      <c r="R125" s="706"/>
      <c r="S125" s="706"/>
      <c r="T125" s="706"/>
      <c r="U125" s="706"/>
      <c r="V125" s="706"/>
      <c r="W125" s="706"/>
      <c r="X125" s="706"/>
      <c r="Y125" s="706"/>
      <c r="Z125" s="706"/>
    </row>
    <row r="126">
      <c r="A126" s="532">
        <v>2.0</v>
      </c>
      <c r="B126" s="204" t="str">
        <f>if('WEEK 3 '!F125&lt;6,mround('WEEK 3 '!B125*0.8,2.5),IF('WEEK 3 '!F125&lt;=10,MROUND('WEEK 3 '!B125*0.95,2.5),'WEEK 3 '!B125))</f>
        <v>#REF!</v>
      </c>
      <c r="C126" s="56" t="s">
        <v>29</v>
      </c>
      <c r="D126" s="671" t="s">
        <v>94</v>
      </c>
      <c r="E126" s="313"/>
      <c r="F126" s="672"/>
      <c r="G126" s="706"/>
      <c r="H126" s="706"/>
      <c r="I126" s="706"/>
      <c r="J126" s="706"/>
      <c r="K126" s="706"/>
      <c r="L126" s="727"/>
      <c r="M126" s="706"/>
      <c r="N126" s="706"/>
      <c r="O126" s="706"/>
      <c r="P126" s="706"/>
      <c r="Q126" s="706"/>
      <c r="R126" s="706"/>
      <c r="S126" s="706"/>
      <c r="T126" s="706"/>
      <c r="U126" s="706"/>
      <c r="V126" s="706"/>
      <c r="W126" s="706"/>
      <c r="X126" s="706"/>
      <c r="Y126" s="706"/>
      <c r="Z126" s="706"/>
    </row>
    <row r="127">
      <c r="A127" s="537">
        <v>3.0</v>
      </c>
      <c r="B127" s="338" t="str">
        <f>if('WEEK 3 '!F126&lt;8,mround('WEEK 3 '!B126*0.8,5),IF('WEEK 3 '!F126&lt;=14,MROUND('WEEK 3 '!B126*0.95,5),'WEEK 3 '!B126))</f>
        <v>#REF!</v>
      </c>
      <c r="C127" s="56" t="s">
        <v>29</v>
      </c>
      <c r="D127" s="772" t="s">
        <v>94</v>
      </c>
      <c r="E127" s="673"/>
      <c r="F127" s="672"/>
      <c r="G127" s="706"/>
      <c r="H127" s="706"/>
      <c r="I127" s="706"/>
      <c r="J127" s="706"/>
      <c r="K127" s="706"/>
      <c r="L127" s="727"/>
      <c r="M127" s="706"/>
      <c r="N127" s="706"/>
      <c r="O127" s="706"/>
      <c r="P127" s="706"/>
      <c r="Q127" s="706"/>
      <c r="R127" s="706"/>
      <c r="S127" s="706"/>
      <c r="T127" s="706"/>
      <c r="U127" s="706"/>
      <c r="V127" s="706"/>
      <c r="W127" s="706"/>
      <c r="X127" s="706"/>
      <c r="Y127" s="706"/>
      <c r="Z127" s="706"/>
    </row>
    <row r="128">
      <c r="A128" s="773"/>
      <c r="B128" s="773"/>
      <c r="C128" s="773"/>
      <c r="D128" s="770"/>
      <c r="E128" s="771"/>
      <c r="F128" s="770"/>
      <c r="G128" s="387"/>
      <c r="H128" s="387"/>
      <c r="I128" s="387"/>
      <c r="J128" s="387"/>
      <c r="K128" s="387"/>
      <c r="L128" s="695"/>
      <c r="M128" s="387"/>
      <c r="N128" s="387"/>
      <c r="O128" s="387"/>
      <c r="P128" s="387"/>
      <c r="Q128" s="387"/>
      <c r="R128" s="387"/>
      <c r="S128" s="387"/>
      <c r="T128" s="387"/>
      <c r="U128" s="387"/>
      <c r="V128" s="387"/>
      <c r="W128" s="387"/>
      <c r="X128" s="387"/>
      <c r="Y128" s="387"/>
      <c r="Z128" s="387"/>
    </row>
    <row r="129">
      <c r="A129" s="773"/>
      <c r="B129" s="773"/>
      <c r="C129" s="773"/>
      <c r="D129" s="770"/>
      <c r="E129" s="771"/>
      <c r="F129" s="770"/>
      <c r="G129" s="387"/>
      <c r="H129" s="387"/>
      <c r="I129" s="387"/>
      <c r="J129" s="387"/>
      <c r="K129" s="387"/>
      <c r="L129" s="695"/>
      <c r="M129" s="387"/>
      <c r="N129" s="387"/>
      <c r="O129" s="387"/>
      <c r="P129" s="387"/>
      <c r="Q129" s="387"/>
      <c r="R129" s="387"/>
      <c r="S129" s="387"/>
      <c r="T129" s="387"/>
      <c r="U129" s="387"/>
      <c r="V129" s="387"/>
      <c r="W129" s="387"/>
      <c r="X129" s="387"/>
      <c r="Y129" s="387"/>
      <c r="Z129" s="387"/>
    </row>
    <row r="130">
      <c r="A130" s="65" t="str">
        <f>HYPERLINK("https://youtu.be/jat-iMMa0ac","3. DUMBBELL SIDE LATERAL RAISE")</f>
        <v>3. DUMBBELL SIDE LATERAL RAISE</v>
      </c>
      <c r="B130" s="44"/>
      <c r="C130" s="44"/>
      <c r="D130" s="44"/>
      <c r="E130" s="44"/>
      <c r="F130" s="45"/>
      <c r="G130" s="387"/>
      <c r="H130" s="387"/>
      <c r="I130" s="387"/>
      <c r="J130" s="387"/>
      <c r="K130" s="387"/>
      <c r="L130" s="695"/>
      <c r="M130" s="387"/>
      <c r="N130" s="387"/>
      <c r="O130" s="387"/>
      <c r="P130" s="387"/>
      <c r="Q130" s="387"/>
      <c r="R130" s="387"/>
      <c r="S130" s="387"/>
      <c r="T130" s="387"/>
      <c r="U130" s="387"/>
      <c r="V130" s="387"/>
      <c r="W130" s="387"/>
      <c r="X130" s="387"/>
      <c r="Y130" s="387"/>
      <c r="Z130" s="387"/>
    </row>
    <row r="131">
      <c r="A131" s="193" t="s">
        <v>116</v>
      </c>
      <c r="B131" s="81" t="str">
        <f>'WEEK 2'!B137</f>
        <v>#REF!</v>
      </c>
      <c r="C131" s="4"/>
      <c r="D131" s="4"/>
      <c r="E131" s="4"/>
      <c r="F131" s="48"/>
      <c r="G131" s="387"/>
      <c r="H131" s="387"/>
      <c r="I131" s="387"/>
      <c r="J131" s="387"/>
      <c r="K131" s="387"/>
      <c r="L131" s="695"/>
      <c r="M131" s="387"/>
      <c r="N131" s="387"/>
      <c r="O131" s="387"/>
      <c r="P131" s="387"/>
      <c r="Q131" s="387"/>
      <c r="R131" s="387"/>
      <c r="S131" s="387"/>
      <c r="T131" s="387"/>
      <c r="U131" s="387"/>
      <c r="V131" s="387"/>
      <c r="W131" s="387"/>
      <c r="X131" s="387"/>
      <c r="Y131" s="387"/>
      <c r="Z131" s="387"/>
    </row>
    <row r="132">
      <c r="A132" s="343" t="s">
        <v>18</v>
      </c>
      <c r="B132" s="70" t="s">
        <v>19</v>
      </c>
      <c r="C132" s="70" t="s">
        <v>20</v>
      </c>
      <c r="D132" s="70" t="s">
        <v>21</v>
      </c>
      <c r="E132" s="89" t="s">
        <v>22</v>
      </c>
      <c r="F132" s="344" t="s">
        <v>23</v>
      </c>
      <c r="G132" s="387"/>
      <c r="H132" s="387"/>
      <c r="I132" s="387"/>
      <c r="J132" s="387"/>
      <c r="K132" s="387"/>
      <c r="L132" s="695"/>
      <c r="M132" s="387"/>
      <c r="N132" s="387"/>
      <c r="O132" s="387"/>
      <c r="P132" s="387"/>
      <c r="Q132" s="387"/>
      <c r="R132" s="387"/>
      <c r="S132" s="387"/>
      <c r="T132" s="387"/>
      <c r="U132" s="387"/>
      <c r="V132" s="387"/>
      <c r="W132" s="387"/>
      <c r="X132" s="387"/>
      <c r="Y132" s="387"/>
      <c r="Z132" s="387"/>
    </row>
    <row r="133">
      <c r="A133" s="72">
        <v>1.0</v>
      </c>
      <c r="B133" s="73" t="str">
        <f>mround('WEEK 3 '!B131*0.9*0.2,5)</f>
        <v>#REF!</v>
      </c>
      <c r="C133" s="56" t="s">
        <v>29</v>
      </c>
      <c r="D133" s="671" t="s">
        <v>89</v>
      </c>
      <c r="E133" s="345"/>
      <c r="F133" s="774"/>
      <c r="G133" s="387"/>
      <c r="H133" s="387"/>
      <c r="I133" s="387"/>
      <c r="J133" s="387"/>
      <c r="K133" s="387"/>
      <c r="L133" s="695"/>
      <c r="M133" s="387"/>
      <c r="N133" s="387"/>
      <c r="O133" s="387"/>
      <c r="P133" s="387"/>
      <c r="Q133" s="387"/>
      <c r="R133" s="387"/>
      <c r="S133" s="387"/>
      <c r="T133" s="387"/>
      <c r="U133" s="387"/>
      <c r="V133" s="387"/>
      <c r="W133" s="387"/>
      <c r="X133" s="387"/>
      <c r="Y133" s="387"/>
      <c r="Z133" s="387"/>
    </row>
    <row r="134">
      <c r="A134" s="72">
        <v>2.0</v>
      </c>
      <c r="B134" s="73" t="str">
        <f>if('WEEK 3 '!F133&lt;12,mround('WEEK 3 '!B131*0.15,2.5),'WEEK 3 '!B133)</f>
        <v>#REF!</v>
      </c>
      <c r="C134" s="56" t="s">
        <v>29</v>
      </c>
      <c r="D134" s="671" t="s">
        <v>89</v>
      </c>
      <c r="E134" s="345"/>
      <c r="F134" s="297"/>
      <c r="G134" s="387"/>
      <c r="H134" s="387"/>
      <c r="I134" s="387"/>
      <c r="J134" s="387"/>
      <c r="K134" s="387"/>
      <c r="L134" s="695"/>
      <c r="M134" s="387"/>
      <c r="N134" s="387"/>
      <c r="O134" s="387"/>
      <c r="P134" s="387"/>
      <c r="Q134" s="387"/>
      <c r="R134" s="387"/>
      <c r="S134" s="387"/>
      <c r="T134" s="387"/>
      <c r="U134" s="387"/>
      <c r="V134" s="387"/>
      <c r="W134" s="387"/>
      <c r="X134" s="387"/>
      <c r="Y134" s="387"/>
      <c r="Z134" s="387"/>
    </row>
    <row r="135">
      <c r="A135" s="77">
        <v>3.0</v>
      </c>
      <c r="B135" s="78" t="str">
        <f>if('WEEK 3 '!F134&lt;12,mround('WEEK 3 '!B131*0.1,2.5),'WEEK 3 '!B134)</f>
        <v>#REF!</v>
      </c>
      <c r="C135" s="56" t="s">
        <v>29</v>
      </c>
      <c r="D135" s="671" t="s">
        <v>89</v>
      </c>
      <c r="E135" s="346"/>
      <c r="F135" s="76"/>
      <c r="G135" s="387"/>
      <c r="H135" s="387"/>
      <c r="I135" s="387"/>
      <c r="J135" s="387"/>
      <c r="K135" s="387"/>
      <c r="L135" s="695"/>
      <c r="M135" s="387"/>
      <c r="N135" s="387"/>
      <c r="O135" s="387"/>
      <c r="P135" s="387"/>
      <c r="Q135" s="387"/>
      <c r="R135" s="387"/>
      <c r="S135" s="387"/>
      <c r="T135" s="387"/>
      <c r="U135" s="387"/>
      <c r="V135" s="387"/>
      <c r="W135" s="387"/>
      <c r="X135" s="387"/>
      <c r="Y135" s="387"/>
      <c r="Z135" s="387"/>
    </row>
    <row r="136">
      <c r="A136" s="773"/>
      <c r="B136" s="773"/>
      <c r="C136" s="773"/>
      <c r="D136" s="770"/>
      <c r="E136" s="771"/>
      <c r="F136" s="770"/>
      <c r="G136" s="387"/>
      <c r="H136" s="387"/>
      <c r="I136" s="387"/>
      <c r="J136" s="387"/>
      <c r="K136" s="387"/>
      <c r="L136" s="695"/>
      <c r="M136" s="387"/>
      <c r="N136" s="387"/>
      <c r="O136" s="387"/>
      <c r="P136" s="387"/>
      <c r="Q136" s="387"/>
      <c r="R136" s="387"/>
      <c r="S136" s="387"/>
      <c r="T136" s="387"/>
      <c r="U136" s="387"/>
      <c r="V136" s="387"/>
      <c r="W136" s="387"/>
      <c r="X136" s="387"/>
      <c r="Y136" s="387"/>
      <c r="Z136" s="387"/>
    </row>
    <row r="137">
      <c r="A137" s="773"/>
      <c r="B137" s="773"/>
      <c r="C137" s="773"/>
      <c r="D137" s="770"/>
      <c r="E137" s="771"/>
      <c r="F137" s="770"/>
      <c r="G137" s="387"/>
      <c r="H137" s="387"/>
      <c r="I137" s="387"/>
      <c r="J137" s="387"/>
      <c r="K137" s="387"/>
      <c r="L137" s="695"/>
      <c r="M137" s="387"/>
      <c r="N137" s="387"/>
      <c r="O137" s="387"/>
      <c r="P137" s="387"/>
      <c r="Q137" s="387"/>
      <c r="R137" s="387"/>
      <c r="S137" s="387"/>
      <c r="T137" s="387"/>
      <c r="U137" s="387"/>
      <c r="V137" s="387"/>
      <c r="W137" s="387"/>
      <c r="X137" s="387"/>
      <c r="Y137" s="387"/>
      <c r="Z137" s="387"/>
    </row>
    <row r="138">
      <c r="A138" s="328" t="str">
        <f>HYPERLINK("https://www.youtube.com/watch?v=Zt0LwrUdpNs","2.  TRICEP OVERHEAD ROPE EXTENSION")</f>
        <v>2.  TRICEP OVERHEAD ROPE EXTENSION</v>
      </c>
      <c r="B138" s="44"/>
      <c r="C138" s="44"/>
      <c r="D138" s="44"/>
      <c r="E138" s="44"/>
      <c r="F138" s="45"/>
      <c r="G138" s="387"/>
      <c r="N138" s="387"/>
      <c r="O138" s="387"/>
      <c r="P138" s="387"/>
      <c r="Q138" s="387"/>
      <c r="R138" s="387"/>
      <c r="S138" s="387"/>
      <c r="T138" s="387"/>
      <c r="U138" s="387"/>
      <c r="V138" s="387"/>
      <c r="W138" s="387"/>
      <c r="X138" s="387"/>
      <c r="Y138" s="387"/>
      <c r="Z138" s="387"/>
    </row>
    <row r="139">
      <c r="A139" s="193" t="s">
        <v>126</v>
      </c>
      <c r="B139" s="81" t="str">
        <f>'WEEK 2'!B145</f>
        <v>#REF!</v>
      </c>
      <c r="C139" s="4"/>
      <c r="D139" s="4"/>
      <c r="E139" s="4"/>
      <c r="F139" s="48"/>
      <c r="G139" s="387"/>
      <c r="N139" s="387"/>
      <c r="O139" s="387"/>
      <c r="P139" s="387"/>
      <c r="Q139" s="387"/>
      <c r="R139" s="387"/>
      <c r="S139" s="387"/>
      <c r="T139" s="387"/>
      <c r="U139" s="387"/>
      <c r="V139" s="387"/>
      <c r="W139" s="387"/>
      <c r="X139" s="387"/>
      <c r="Y139" s="387"/>
      <c r="Z139" s="387"/>
    </row>
    <row r="140">
      <c r="A140" s="68" t="s">
        <v>18</v>
      </c>
      <c r="B140" s="69" t="s">
        <v>19</v>
      </c>
      <c r="C140" s="69" t="s">
        <v>20</v>
      </c>
      <c r="D140" s="69" t="s">
        <v>21</v>
      </c>
      <c r="E140" s="71" t="s">
        <v>22</v>
      </c>
      <c r="F140" s="202" t="s">
        <v>23</v>
      </c>
      <c r="G140" s="702"/>
      <c r="N140" s="702"/>
      <c r="O140" s="702"/>
      <c r="P140" s="702"/>
      <c r="Q140" s="702"/>
      <c r="R140" s="702"/>
      <c r="S140" s="702"/>
      <c r="T140" s="702"/>
      <c r="U140" s="702"/>
      <c r="V140" s="702"/>
      <c r="W140" s="702"/>
      <c r="X140" s="702"/>
      <c r="Y140" s="702"/>
      <c r="Z140" s="702"/>
    </row>
    <row r="141">
      <c r="A141" s="72">
        <v>1.0</v>
      </c>
      <c r="B141" s="73" t="str">
        <f>MROUND('WEEK 3 '!B139*0.9,10)</f>
        <v>#REF!</v>
      </c>
      <c r="C141" s="56" t="s">
        <v>29</v>
      </c>
      <c r="D141" s="74" t="s">
        <v>26</v>
      </c>
      <c r="E141" s="75" t="str">
        <f t="shared" ref="E141:E143" si="8">IF('WEEK 1 '!B144=B141,'WEEK 1 '!F144,"")</f>
        <v>#REF!</v>
      </c>
      <c r="F141" s="76"/>
      <c r="G141" s="706"/>
      <c r="N141" s="706"/>
      <c r="O141" s="706"/>
      <c r="P141" s="706"/>
      <c r="Q141" s="706"/>
      <c r="R141" s="706"/>
      <c r="S141" s="706"/>
      <c r="T141" s="706"/>
      <c r="U141" s="706"/>
      <c r="V141" s="706"/>
      <c r="W141" s="706"/>
      <c r="X141" s="706"/>
      <c r="Y141" s="706"/>
      <c r="Z141" s="706"/>
    </row>
    <row r="142">
      <c r="A142" s="72">
        <v>2.0</v>
      </c>
      <c r="B142" s="73" t="str">
        <f t="shared" ref="B142:B143" si="9">if('WEEK 3 '!F141&lt;10,mround('WEEK 3 '!B141*0.8,5),IF('WEEK 3 '!F141&lt;=14,MROUND('WEEK 3 '!B139*0.95,5),'WEEK 3 '!B141))</f>
        <v>#REF!</v>
      </c>
      <c r="C142" s="56" t="s">
        <v>29</v>
      </c>
      <c r="D142" s="74" t="s">
        <v>26</v>
      </c>
      <c r="E142" s="75" t="str">
        <f t="shared" si="8"/>
        <v>#REF!</v>
      </c>
      <c r="F142" s="76"/>
      <c r="G142" s="706"/>
      <c r="N142" s="706"/>
      <c r="O142" s="706"/>
      <c r="P142" s="706"/>
      <c r="Q142" s="706"/>
      <c r="R142" s="706"/>
      <c r="S142" s="706"/>
      <c r="T142" s="706"/>
      <c r="U142" s="706"/>
      <c r="V142" s="706"/>
      <c r="W142" s="706"/>
      <c r="X142" s="706"/>
      <c r="Y142" s="706"/>
      <c r="Z142" s="706"/>
    </row>
    <row r="143">
      <c r="A143" s="604">
        <v>3.0</v>
      </c>
      <c r="B143" s="73" t="str">
        <f t="shared" si="9"/>
        <v>#REF!</v>
      </c>
      <c r="C143" s="56" t="s">
        <v>29</v>
      </c>
      <c r="D143" s="295" t="s">
        <v>26</v>
      </c>
      <c r="E143" s="607" t="str">
        <f t="shared" si="8"/>
        <v>#REF!</v>
      </c>
      <c r="F143" s="297"/>
      <c r="G143" s="706"/>
      <c r="N143" s="706"/>
      <c r="O143" s="706"/>
      <c r="P143" s="706"/>
      <c r="Q143" s="706"/>
      <c r="R143" s="706"/>
      <c r="S143" s="706"/>
      <c r="T143" s="706"/>
      <c r="U143" s="706"/>
      <c r="V143" s="706"/>
      <c r="W143" s="706"/>
      <c r="X143" s="706"/>
      <c r="Y143" s="706"/>
      <c r="Z143" s="706"/>
    </row>
    <row r="144">
      <c r="A144" s="775"/>
      <c r="B144" s="776"/>
      <c r="C144" s="776"/>
      <c r="D144" s="777"/>
      <c r="E144" s="778"/>
      <c r="F144" s="777"/>
      <c r="G144" s="706"/>
      <c r="N144" s="706"/>
      <c r="O144" s="706"/>
      <c r="P144" s="706"/>
      <c r="Q144" s="706"/>
      <c r="R144" s="706"/>
      <c r="S144" s="706"/>
      <c r="T144" s="706"/>
      <c r="U144" s="706"/>
      <c r="V144" s="706"/>
      <c r="W144" s="706"/>
      <c r="X144" s="706"/>
      <c r="Y144" s="706"/>
      <c r="Z144" s="706"/>
    </row>
    <row r="145">
      <c r="G145" s="387"/>
      <c r="H145" s="387"/>
      <c r="I145" s="387"/>
      <c r="J145" s="387"/>
      <c r="K145" s="387"/>
      <c r="L145" s="695"/>
      <c r="M145" s="387"/>
      <c r="N145" s="387"/>
      <c r="O145" s="387"/>
      <c r="P145" s="387"/>
      <c r="Q145" s="387"/>
      <c r="R145" s="387"/>
      <c r="S145" s="387"/>
      <c r="T145" s="387"/>
      <c r="U145" s="387"/>
      <c r="V145" s="387"/>
      <c r="W145" s="387"/>
      <c r="X145" s="387"/>
      <c r="Y145" s="387"/>
      <c r="Z145" s="387"/>
    </row>
    <row r="146">
      <c r="A146" s="66" t="str">
        <f>HYPERLINK("https://www.youtube.com/watch?v=9IqvmIhFxtY","4. BICEP CABLE CURL")</f>
        <v>4. BICEP CABLE CURL</v>
      </c>
      <c r="B146" s="44"/>
      <c r="C146" s="44"/>
      <c r="D146" s="44"/>
      <c r="E146" s="44"/>
      <c r="F146" s="45"/>
      <c r="G146" s="387"/>
      <c r="H146" s="387"/>
      <c r="I146" s="387"/>
      <c r="J146" s="387"/>
      <c r="K146" s="387"/>
      <c r="L146" s="695"/>
      <c r="M146" s="387"/>
      <c r="N146" s="387"/>
      <c r="O146" s="387"/>
      <c r="P146" s="387"/>
      <c r="Q146" s="387"/>
      <c r="R146" s="387"/>
      <c r="S146" s="387"/>
      <c r="T146" s="387"/>
      <c r="U146" s="387"/>
      <c r="V146" s="387"/>
      <c r="W146" s="387"/>
      <c r="X146" s="387"/>
      <c r="Y146" s="387"/>
      <c r="Z146" s="387"/>
    </row>
    <row r="147">
      <c r="A147" s="193" t="s">
        <v>86</v>
      </c>
      <c r="B147" s="67" t="str">
        <f>IF('WEEK 2'!B155='WEEK 2'!B157,'WEEK 2'!B157+5,IF('WEEK 2'!F149&lt;=15,MROUND('WEEK 2'!B153*0.95,5),'WEEK 2'!B155))</f>
        <v>#REF!</v>
      </c>
      <c r="C147" s="4"/>
      <c r="D147" s="4"/>
      <c r="E147" s="4"/>
      <c r="F147" s="48"/>
      <c r="G147" s="702"/>
      <c r="H147" s="702"/>
      <c r="I147" s="702"/>
      <c r="J147" s="702"/>
      <c r="K147" s="702"/>
      <c r="L147" s="726"/>
      <c r="M147" s="702"/>
      <c r="N147" s="702"/>
      <c r="O147" s="702"/>
      <c r="P147" s="702"/>
      <c r="Q147" s="702"/>
      <c r="R147" s="702"/>
      <c r="S147" s="702"/>
      <c r="T147" s="702"/>
      <c r="U147" s="702"/>
      <c r="V147" s="702"/>
      <c r="W147" s="702"/>
      <c r="X147" s="702"/>
      <c r="Y147" s="702"/>
      <c r="Z147" s="702"/>
    </row>
    <row r="148">
      <c r="A148" s="68" t="s">
        <v>18</v>
      </c>
      <c r="B148" s="69" t="s">
        <v>19</v>
      </c>
      <c r="C148" s="69" t="s">
        <v>20</v>
      </c>
      <c r="D148" s="69" t="s">
        <v>21</v>
      </c>
      <c r="E148" s="71" t="s">
        <v>22</v>
      </c>
      <c r="F148" s="202" t="s">
        <v>23</v>
      </c>
      <c r="G148" s="706"/>
      <c r="H148" s="706"/>
      <c r="I148" s="706"/>
      <c r="J148" s="706"/>
      <c r="K148" s="706"/>
      <c r="L148" s="727"/>
      <c r="M148" s="706"/>
      <c r="N148" s="706"/>
      <c r="O148" s="706"/>
      <c r="P148" s="706"/>
      <c r="Q148" s="706"/>
      <c r="R148" s="706"/>
      <c r="S148" s="706"/>
      <c r="T148" s="706"/>
      <c r="U148" s="706"/>
      <c r="V148" s="706"/>
      <c r="W148" s="706"/>
      <c r="X148" s="706"/>
      <c r="Y148" s="706"/>
      <c r="Z148" s="706"/>
    </row>
    <row r="149">
      <c r="A149" s="72">
        <v>1.0</v>
      </c>
      <c r="B149" s="73" t="str">
        <f>MROUND('WEEK 3 '!B147*0.9,10)</f>
        <v>#REF!</v>
      </c>
      <c r="C149" s="56" t="s">
        <v>32</v>
      </c>
      <c r="D149" s="74" t="s">
        <v>26</v>
      </c>
      <c r="E149" s="75" t="str">
        <f t="shared" ref="E149:E151" si="10">IF('WEEK 2'!B155=B149,'WEEK 2'!F155,"")</f>
        <v>#REF!</v>
      </c>
      <c r="F149" s="76"/>
      <c r="G149" s="706"/>
      <c r="H149" s="706"/>
      <c r="I149" s="706"/>
      <c r="J149" s="706"/>
      <c r="K149" s="706"/>
      <c r="L149" s="727"/>
      <c r="M149" s="706"/>
      <c r="N149" s="706"/>
      <c r="O149" s="706"/>
      <c r="P149" s="706"/>
      <c r="Q149" s="706"/>
      <c r="R149" s="706"/>
      <c r="S149" s="706"/>
      <c r="T149" s="706"/>
      <c r="U149" s="706"/>
      <c r="V149" s="706"/>
      <c r="W149" s="706"/>
      <c r="X149" s="706"/>
      <c r="Y149" s="706"/>
      <c r="Z149" s="706"/>
    </row>
    <row r="150">
      <c r="A150" s="72">
        <v>2.0</v>
      </c>
      <c r="B150" s="73" t="str">
        <f t="shared" ref="B150:B151" si="11">if('WEEK 3 '!F149&lt;15,mround('WEEK 3 '!B149*0.85,5),IF('WEEK 3 '!F149&lt;=18,MROUND('WEEK 3 '!B149*0.95,5),'WEEK 3 '!B149))</f>
        <v>#REF!</v>
      </c>
      <c r="C150" s="56" t="s">
        <v>32</v>
      </c>
      <c r="D150" s="74" t="s">
        <v>26</v>
      </c>
      <c r="E150" s="75" t="str">
        <f t="shared" si="10"/>
        <v>#REF!</v>
      </c>
      <c r="F150" s="76"/>
      <c r="G150" s="706"/>
      <c r="H150" s="706"/>
      <c r="I150" s="706"/>
      <c r="J150" s="706"/>
      <c r="K150" s="706"/>
      <c r="L150" s="727"/>
      <c r="M150" s="706"/>
      <c r="N150" s="706"/>
      <c r="O150" s="706"/>
      <c r="P150" s="706"/>
      <c r="Q150" s="706"/>
      <c r="R150" s="706"/>
      <c r="S150" s="706"/>
      <c r="T150" s="706"/>
      <c r="U150" s="706"/>
      <c r="V150" s="706"/>
      <c r="W150" s="706"/>
      <c r="X150" s="706"/>
      <c r="Y150" s="706"/>
      <c r="Z150" s="706"/>
    </row>
    <row r="151">
      <c r="A151" s="604">
        <v>3.0</v>
      </c>
      <c r="B151" s="605" t="str">
        <f t="shared" si="11"/>
        <v>#REF!</v>
      </c>
      <c r="C151" s="606" t="s">
        <v>32</v>
      </c>
      <c r="D151" s="295" t="s">
        <v>26</v>
      </c>
      <c r="E151" s="607" t="str">
        <f t="shared" si="10"/>
        <v>#REF!</v>
      </c>
      <c r="F151" s="297"/>
      <c r="G151" s="706"/>
      <c r="H151" s="706"/>
      <c r="I151" s="706"/>
      <c r="J151" s="706"/>
      <c r="K151" s="706"/>
      <c r="L151" s="727"/>
      <c r="M151" s="706"/>
      <c r="N151" s="706"/>
      <c r="O151" s="706"/>
      <c r="P151" s="706"/>
      <c r="Q151" s="706"/>
      <c r="R151" s="706"/>
      <c r="S151" s="706"/>
      <c r="T151" s="706"/>
      <c r="U151" s="706"/>
      <c r="V151" s="706"/>
      <c r="W151" s="706"/>
      <c r="X151" s="706"/>
      <c r="Y151" s="706"/>
      <c r="Z151" s="706"/>
    </row>
    <row r="152">
      <c r="A152" s="779"/>
      <c r="B152" s="780"/>
      <c r="C152" s="781"/>
      <c r="D152" s="782"/>
      <c r="E152" s="783"/>
      <c r="F152" s="780"/>
      <c r="G152" s="387"/>
      <c r="H152" s="387"/>
      <c r="I152" s="387"/>
      <c r="J152" s="387"/>
      <c r="K152" s="387"/>
      <c r="L152" s="695"/>
      <c r="M152" s="387"/>
      <c r="N152" s="387"/>
      <c r="O152" s="387"/>
      <c r="P152" s="387"/>
      <c r="Q152" s="387"/>
      <c r="R152" s="387"/>
      <c r="S152" s="387"/>
      <c r="T152" s="387"/>
      <c r="U152" s="387"/>
      <c r="V152" s="387"/>
      <c r="W152" s="387"/>
      <c r="X152" s="387"/>
      <c r="Y152" s="387"/>
      <c r="Z152" s="387"/>
    </row>
    <row r="153">
      <c r="A153" s="784"/>
      <c r="B153" s="747"/>
      <c r="C153" s="747"/>
      <c r="D153" s="747"/>
      <c r="E153" s="747"/>
      <c r="F153" s="747"/>
      <c r="G153" s="387"/>
      <c r="H153" s="387"/>
      <c r="I153" s="387"/>
      <c r="J153" s="387"/>
      <c r="K153" s="387"/>
      <c r="L153" s="695"/>
      <c r="M153" s="387"/>
      <c r="N153" s="387"/>
      <c r="O153" s="387"/>
      <c r="P153" s="387"/>
      <c r="Q153" s="387"/>
      <c r="R153" s="387"/>
      <c r="S153" s="387"/>
      <c r="T153" s="387"/>
      <c r="U153" s="387"/>
      <c r="V153" s="387"/>
      <c r="W153" s="387"/>
      <c r="X153" s="387"/>
      <c r="Y153" s="387"/>
      <c r="Z153" s="387"/>
    </row>
    <row r="154">
      <c r="A154" s="277" t="str">
        <f>HYPERLINK("https://docs.google.com/a/fitnessresults.com/forms/d/e/1FAIpQLSd7MoczESe8Yjv6BKpmwAZGn9Aiymrs9-UdgfYIUpbr9t5NXg/viewform?usp=pp_url&amp;entry.93370101","CLICK TO COMPLETE WORKOUT")</f>
        <v>CLICK TO COMPLETE WORKOUT</v>
      </c>
      <c r="B154" s="27"/>
      <c r="C154" s="27"/>
      <c r="D154" s="27"/>
      <c r="E154" s="27"/>
      <c r="F154" s="28"/>
      <c r="G154" s="387"/>
      <c r="H154" s="387"/>
      <c r="I154" s="387"/>
      <c r="J154" s="387"/>
      <c r="K154" s="387"/>
      <c r="L154" s="695"/>
      <c r="M154" s="387"/>
      <c r="N154" s="387"/>
      <c r="O154" s="387"/>
      <c r="P154" s="387"/>
      <c r="Q154" s="387"/>
      <c r="R154" s="387"/>
      <c r="S154" s="387"/>
      <c r="T154" s="387"/>
      <c r="U154" s="387"/>
      <c r="V154" s="387"/>
      <c r="W154" s="387"/>
      <c r="X154" s="387"/>
      <c r="Y154" s="387"/>
      <c r="Z154" s="387"/>
    </row>
    <row r="155">
      <c r="A155" s="784"/>
      <c r="B155" s="747"/>
      <c r="C155" s="747"/>
      <c r="D155" s="747"/>
      <c r="E155" s="747"/>
      <c r="F155" s="747"/>
      <c r="G155" s="387"/>
      <c r="H155" s="387"/>
      <c r="I155" s="387"/>
      <c r="J155" s="387"/>
      <c r="K155" s="387"/>
      <c r="L155" s="695"/>
      <c r="M155" s="387"/>
      <c r="N155" s="387"/>
      <c r="O155" s="387"/>
      <c r="P155" s="387"/>
      <c r="Q155" s="387"/>
      <c r="R155" s="387"/>
      <c r="S155" s="387"/>
      <c r="T155" s="387"/>
      <c r="U155" s="387"/>
      <c r="V155" s="387"/>
      <c r="W155" s="387"/>
      <c r="X155" s="387"/>
      <c r="Y155" s="387"/>
      <c r="Z155" s="387"/>
    </row>
    <row r="156">
      <c r="A156" s="97" t="s">
        <v>102</v>
      </c>
      <c r="B156" s="27"/>
      <c r="C156" s="27"/>
      <c r="D156" s="27"/>
      <c r="E156" s="27"/>
      <c r="F156" s="28"/>
      <c r="G156" s="387"/>
      <c r="H156" s="387"/>
      <c r="I156" s="387"/>
      <c r="J156" s="387"/>
      <c r="K156" s="387"/>
      <c r="L156" s="695"/>
      <c r="M156" s="387"/>
      <c r="N156" s="387"/>
      <c r="O156" s="387"/>
      <c r="P156" s="387"/>
      <c r="Q156" s="387"/>
      <c r="R156" s="387"/>
      <c r="S156" s="387"/>
      <c r="T156" s="387"/>
      <c r="U156" s="387"/>
      <c r="V156" s="387"/>
      <c r="W156" s="387"/>
      <c r="X156" s="387"/>
      <c r="Y156" s="387"/>
      <c r="Z156" s="387"/>
    </row>
    <row r="157">
      <c r="A157" s="94"/>
      <c r="B157" s="94"/>
      <c r="C157" s="94"/>
      <c r="D157" s="94"/>
      <c r="E157" s="189"/>
      <c r="F157" s="94"/>
      <c r="G157" s="387"/>
      <c r="H157" s="387"/>
      <c r="I157" s="387"/>
      <c r="J157" s="387"/>
      <c r="K157" s="387"/>
      <c r="L157" s="695"/>
      <c r="M157" s="387"/>
      <c r="N157" s="387"/>
      <c r="O157" s="387"/>
      <c r="P157" s="387"/>
      <c r="Q157" s="387"/>
      <c r="R157" s="387"/>
      <c r="S157" s="387"/>
      <c r="T157" s="387"/>
      <c r="U157" s="387"/>
      <c r="V157" s="387"/>
      <c r="W157" s="387"/>
      <c r="X157" s="387"/>
      <c r="Y157" s="387"/>
      <c r="Z157" s="387"/>
    </row>
    <row r="158">
      <c r="A158" s="616" t="str">
        <f>HYPERLINK("https://www.amazon.com/30-Minute-Body-Investment-Champion/dp/0692791892/ref=sr_1_1?ie=UTF8&amp;qid=1490447969&amp;sr=8-1&amp;keywords=30+minute+body","WANT TO LEARN MORE?")</f>
        <v>WANT TO LEARN MORE?</v>
      </c>
      <c r="B158" s="7"/>
      <c r="C158" s="7"/>
      <c r="D158" s="7"/>
      <c r="E158" s="7"/>
      <c r="F158" s="8"/>
      <c r="G158" s="387"/>
      <c r="H158" s="387"/>
      <c r="I158" s="387"/>
      <c r="J158" s="387"/>
      <c r="K158" s="387"/>
      <c r="L158" s="695"/>
      <c r="M158" s="387"/>
      <c r="N158" s="387"/>
      <c r="O158" s="387"/>
      <c r="P158" s="387"/>
      <c r="Q158" s="387"/>
      <c r="R158" s="387"/>
      <c r="S158" s="387"/>
      <c r="T158" s="387"/>
      <c r="U158" s="387"/>
      <c r="V158" s="387"/>
      <c r="W158" s="387"/>
      <c r="X158" s="387"/>
      <c r="Y158" s="387"/>
      <c r="Z158" s="387"/>
    </row>
    <row r="159">
      <c r="A159" s="9"/>
      <c r="B159" s="4"/>
      <c r="C159" s="4"/>
      <c r="D159" s="4"/>
      <c r="E159" s="4"/>
      <c r="F159" s="5"/>
      <c r="G159" s="387"/>
      <c r="H159" s="387"/>
      <c r="I159" s="387"/>
      <c r="J159" s="387"/>
      <c r="K159" s="387"/>
      <c r="L159" s="695"/>
      <c r="M159" s="387"/>
      <c r="N159" s="387"/>
      <c r="O159" s="387"/>
      <c r="P159" s="387"/>
      <c r="Q159" s="387"/>
      <c r="R159" s="387"/>
      <c r="S159" s="387"/>
      <c r="T159" s="387"/>
      <c r="U159" s="387"/>
      <c r="V159" s="387"/>
      <c r="W159" s="387"/>
      <c r="X159" s="387"/>
      <c r="Y159" s="387"/>
      <c r="Z159" s="387"/>
    </row>
    <row r="160">
      <c r="A160" s="387"/>
      <c r="B160" s="621"/>
      <c r="C160" s="785" t="s">
        <v>35</v>
      </c>
      <c r="D160" s="16"/>
      <c r="E160" s="16"/>
      <c r="F160" s="17"/>
      <c r="G160" s="387"/>
      <c r="H160" s="387"/>
      <c r="I160" s="387"/>
      <c r="J160" s="387"/>
      <c r="K160" s="387"/>
      <c r="L160" s="695"/>
      <c r="M160" s="387"/>
      <c r="N160" s="387"/>
      <c r="O160" s="387"/>
      <c r="P160" s="387"/>
      <c r="Q160" s="387"/>
      <c r="R160" s="387"/>
      <c r="S160" s="387"/>
      <c r="T160" s="387"/>
      <c r="U160" s="387"/>
      <c r="V160" s="387"/>
      <c r="W160" s="387"/>
      <c r="X160" s="387"/>
      <c r="Y160" s="387"/>
      <c r="Z160" s="387"/>
    </row>
    <row r="161">
      <c r="A161" s="387"/>
      <c r="B161" s="621"/>
      <c r="F161" s="19"/>
      <c r="G161" s="387"/>
      <c r="H161" s="387"/>
      <c r="I161" s="387"/>
      <c r="J161" s="387"/>
      <c r="K161" s="387"/>
      <c r="L161" s="695"/>
      <c r="M161" s="387"/>
      <c r="N161" s="387"/>
      <c r="O161" s="387"/>
      <c r="P161" s="387"/>
      <c r="Q161" s="387"/>
      <c r="R161" s="387"/>
      <c r="S161" s="387"/>
      <c r="T161" s="387"/>
      <c r="U161" s="387"/>
      <c r="V161" s="387"/>
      <c r="W161" s="387"/>
      <c r="X161" s="387"/>
      <c r="Y161" s="387"/>
      <c r="Z161" s="387"/>
    </row>
    <row r="162">
      <c r="A162" s="387"/>
      <c r="B162" s="621"/>
      <c r="F162" s="19"/>
      <c r="G162" s="387"/>
      <c r="H162" s="387"/>
      <c r="I162" s="387"/>
      <c r="J162" s="387"/>
      <c r="K162" s="387"/>
      <c r="L162" s="695"/>
      <c r="M162" s="387"/>
      <c r="N162" s="387"/>
      <c r="O162" s="387"/>
      <c r="P162" s="387"/>
      <c r="Q162" s="387"/>
      <c r="R162" s="387"/>
      <c r="S162" s="387"/>
      <c r="T162" s="387"/>
      <c r="U162" s="387"/>
      <c r="V162" s="387"/>
      <c r="W162" s="387"/>
      <c r="X162" s="387"/>
      <c r="Y162" s="387"/>
      <c r="Z162" s="387"/>
    </row>
    <row r="163">
      <c r="A163" s="387"/>
      <c r="B163" s="621"/>
      <c r="F163" s="19"/>
      <c r="G163" s="387"/>
      <c r="H163" s="387"/>
      <c r="I163" s="387"/>
      <c r="J163" s="387"/>
      <c r="K163" s="387"/>
      <c r="L163" s="695"/>
      <c r="M163" s="387"/>
      <c r="N163" s="387"/>
      <c r="O163" s="387"/>
      <c r="P163" s="387"/>
      <c r="Q163" s="387"/>
      <c r="R163" s="387"/>
      <c r="S163" s="387"/>
      <c r="T163" s="387"/>
      <c r="U163" s="387"/>
      <c r="V163" s="387"/>
      <c r="W163" s="387"/>
      <c r="X163" s="387"/>
      <c r="Y163" s="387"/>
      <c r="Z163" s="387"/>
    </row>
    <row r="164">
      <c r="A164" s="387"/>
      <c r="B164" s="621"/>
      <c r="F164" s="19"/>
      <c r="G164" s="387"/>
      <c r="H164" s="387"/>
      <c r="I164" s="387"/>
      <c r="J164" s="387"/>
      <c r="K164" s="387"/>
      <c r="L164" s="695"/>
      <c r="M164" s="387"/>
      <c r="N164" s="387"/>
      <c r="O164" s="387"/>
      <c r="P164" s="387"/>
      <c r="Q164" s="387"/>
      <c r="R164" s="387"/>
      <c r="S164" s="387"/>
      <c r="T164" s="387"/>
      <c r="U164" s="387"/>
      <c r="V164" s="387"/>
      <c r="W164" s="387"/>
      <c r="X164" s="387"/>
      <c r="Y164" s="387"/>
      <c r="Z164" s="387"/>
    </row>
    <row r="165">
      <c r="A165" s="387"/>
      <c r="B165" s="621"/>
      <c r="F165" s="19"/>
      <c r="G165" s="387"/>
      <c r="H165" s="387"/>
      <c r="I165" s="387"/>
      <c r="J165" s="387"/>
      <c r="K165" s="387"/>
      <c r="L165" s="695"/>
      <c r="M165" s="387"/>
      <c r="N165" s="387"/>
      <c r="O165" s="387"/>
      <c r="P165" s="387"/>
      <c r="Q165" s="387"/>
      <c r="R165" s="387"/>
      <c r="S165" s="387"/>
      <c r="T165" s="387"/>
      <c r="U165" s="387"/>
      <c r="V165" s="387"/>
      <c r="W165" s="387"/>
      <c r="X165" s="387"/>
      <c r="Y165" s="387"/>
      <c r="Z165" s="387"/>
    </row>
    <row r="166">
      <c r="A166" s="786"/>
      <c r="B166" s="621"/>
      <c r="F166" s="19"/>
      <c r="G166" s="387"/>
      <c r="H166" s="387"/>
      <c r="I166" s="387"/>
      <c r="J166" s="387"/>
      <c r="K166" s="387"/>
      <c r="L166" s="695"/>
      <c r="M166" s="387"/>
      <c r="N166" s="387"/>
      <c r="O166" s="387"/>
      <c r="P166" s="387"/>
      <c r="Q166" s="387"/>
      <c r="R166" s="387"/>
      <c r="S166" s="387"/>
      <c r="T166" s="387"/>
      <c r="U166" s="387"/>
      <c r="V166" s="387"/>
      <c r="W166" s="387"/>
      <c r="X166" s="387"/>
      <c r="Y166" s="387"/>
      <c r="Z166" s="387"/>
    </row>
    <row r="167">
      <c r="A167" s="387"/>
      <c r="B167" s="621"/>
      <c r="F167" s="19"/>
      <c r="G167" s="387"/>
      <c r="H167" s="387"/>
      <c r="I167" s="387"/>
      <c r="J167" s="387"/>
      <c r="K167" s="387"/>
      <c r="L167" s="695"/>
      <c r="M167" s="387"/>
      <c r="N167" s="387"/>
      <c r="O167" s="387"/>
      <c r="P167" s="387"/>
      <c r="Q167" s="387"/>
      <c r="R167" s="387"/>
      <c r="S167" s="387"/>
      <c r="T167" s="387"/>
      <c r="U167" s="387"/>
      <c r="V167" s="387"/>
      <c r="W167" s="387"/>
      <c r="X167" s="387"/>
      <c r="Y167" s="387"/>
      <c r="Z167" s="387"/>
    </row>
    <row r="168">
      <c r="A168" s="387"/>
      <c r="B168" s="621"/>
      <c r="F168" s="19"/>
      <c r="G168" s="387"/>
      <c r="H168" s="387"/>
      <c r="I168" s="387"/>
      <c r="J168" s="387"/>
      <c r="K168" s="387"/>
      <c r="L168" s="695"/>
      <c r="M168" s="387"/>
      <c r="N168" s="387"/>
      <c r="O168" s="387"/>
      <c r="P168" s="387"/>
      <c r="Q168" s="387"/>
      <c r="R168" s="387"/>
      <c r="S168" s="387"/>
      <c r="T168" s="387"/>
      <c r="U168" s="387"/>
      <c r="V168" s="387"/>
      <c r="W168" s="387"/>
      <c r="X168" s="387"/>
      <c r="Y168" s="387"/>
      <c r="Z168" s="387"/>
    </row>
    <row r="169">
      <c r="A169" s="787"/>
      <c r="B169" s="621"/>
      <c r="F169" s="19"/>
      <c r="G169" s="387"/>
      <c r="H169" s="387"/>
      <c r="I169" s="387"/>
      <c r="J169" s="387"/>
      <c r="K169" s="387"/>
      <c r="L169" s="695"/>
      <c r="M169" s="387"/>
      <c r="N169" s="387"/>
      <c r="O169" s="387"/>
      <c r="P169" s="387"/>
      <c r="Q169" s="387"/>
      <c r="R169" s="387"/>
      <c r="S169" s="387"/>
      <c r="T169" s="387"/>
      <c r="U169" s="387"/>
      <c r="V169" s="387"/>
      <c r="W169" s="387"/>
      <c r="X169" s="387"/>
      <c r="Y169" s="387"/>
      <c r="Z169" s="387"/>
    </row>
    <row r="170">
      <c r="A170" s="387"/>
      <c r="B170" s="621"/>
      <c r="F170" s="19"/>
      <c r="G170" s="387"/>
      <c r="H170" s="387"/>
      <c r="I170" s="387"/>
      <c r="J170" s="387"/>
      <c r="K170" s="387"/>
      <c r="L170" s="695"/>
      <c r="M170" s="387"/>
      <c r="N170" s="387"/>
      <c r="O170" s="387"/>
      <c r="P170" s="387"/>
      <c r="Q170" s="387"/>
      <c r="R170" s="387"/>
      <c r="S170" s="387"/>
      <c r="T170" s="387"/>
      <c r="U170" s="387"/>
      <c r="V170" s="387"/>
      <c r="W170" s="387"/>
      <c r="X170" s="387"/>
      <c r="Y170" s="387"/>
      <c r="Z170" s="387"/>
    </row>
    <row r="171">
      <c r="A171" s="387"/>
      <c r="B171" s="621"/>
      <c r="F171" s="19"/>
      <c r="G171" s="387"/>
      <c r="H171" s="387"/>
      <c r="I171" s="387"/>
      <c r="J171" s="387"/>
      <c r="K171" s="387"/>
      <c r="L171" s="695"/>
      <c r="M171" s="387"/>
      <c r="N171" s="387"/>
      <c r="O171" s="387"/>
      <c r="P171" s="387"/>
      <c r="Q171" s="387"/>
      <c r="R171" s="387"/>
      <c r="S171" s="387"/>
      <c r="T171" s="387"/>
      <c r="U171" s="387"/>
      <c r="V171" s="387"/>
      <c r="W171" s="387"/>
      <c r="X171" s="387"/>
      <c r="Y171" s="387"/>
      <c r="Z171" s="387"/>
    </row>
    <row r="172">
      <c r="A172" s="387"/>
      <c r="B172" s="621"/>
      <c r="F172" s="19"/>
      <c r="G172" s="387"/>
      <c r="H172" s="387"/>
      <c r="I172" s="387"/>
      <c r="J172" s="387"/>
      <c r="K172" s="387"/>
      <c r="L172" s="695"/>
      <c r="M172" s="387"/>
      <c r="N172" s="387"/>
      <c r="O172" s="387"/>
      <c r="P172" s="387"/>
      <c r="Q172" s="387"/>
      <c r="R172" s="387"/>
      <c r="S172" s="387"/>
      <c r="T172" s="387"/>
      <c r="U172" s="387"/>
      <c r="V172" s="387"/>
      <c r="W172" s="387"/>
      <c r="X172" s="387"/>
      <c r="Y172" s="387"/>
      <c r="Z172" s="387"/>
    </row>
    <row r="173">
      <c r="A173" s="387"/>
      <c r="B173" s="621"/>
      <c r="F173" s="19"/>
      <c r="G173" s="387"/>
      <c r="H173" s="387"/>
      <c r="I173" s="387"/>
      <c r="J173" s="387"/>
      <c r="K173" s="387"/>
      <c r="L173" s="695"/>
      <c r="M173" s="387"/>
      <c r="N173" s="387"/>
      <c r="O173" s="387"/>
      <c r="P173" s="387"/>
      <c r="Q173" s="387"/>
      <c r="R173" s="387"/>
      <c r="S173" s="387"/>
      <c r="T173" s="387"/>
      <c r="U173" s="387"/>
      <c r="V173" s="387"/>
      <c r="W173" s="387"/>
      <c r="X173" s="387"/>
      <c r="Y173" s="387"/>
      <c r="Z173" s="387"/>
    </row>
    <row r="174">
      <c r="A174" s="387"/>
      <c r="B174" s="621"/>
      <c r="C174" s="2"/>
      <c r="D174" s="2"/>
      <c r="E174" s="2"/>
      <c r="F174" s="37"/>
      <c r="G174" s="387"/>
      <c r="H174" s="387"/>
      <c r="I174" s="387"/>
      <c r="J174" s="387"/>
      <c r="K174" s="387"/>
      <c r="L174" s="695"/>
      <c r="M174" s="387"/>
      <c r="N174" s="387"/>
      <c r="O174" s="387"/>
      <c r="P174" s="387"/>
      <c r="Q174" s="387"/>
      <c r="R174" s="387"/>
      <c r="S174" s="387"/>
      <c r="T174" s="387"/>
      <c r="U174" s="387"/>
      <c r="V174" s="387"/>
      <c r="W174" s="387"/>
      <c r="X174" s="387"/>
      <c r="Y174" s="387"/>
      <c r="Z174" s="387"/>
    </row>
    <row r="175">
      <c r="A175" s="387"/>
      <c r="B175" s="387"/>
      <c r="C175" s="387"/>
      <c r="D175" s="387"/>
      <c r="E175" s="695"/>
      <c r="F175" s="387"/>
      <c r="G175" s="387"/>
      <c r="H175" s="387"/>
      <c r="I175" s="387"/>
      <c r="J175" s="387"/>
      <c r="K175" s="387"/>
      <c r="L175" s="695"/>
      <c r="M175" s="387"/>
      <c r="N175" s="387"/>
      <c r="O175" s="387"/>
      <c r="P175" s="387"/>
      <c r="Q175" s="387"/>
      <c r="R175" s="387"/>
      <c r="S175" s="387"/>
      <c r="T175" s="387"/>
      <c r="U175" s="387"/>
      <c r="V175" s="387"/>
      <c r="W175" s="387"/>
      <c r="X175" s="387"/>
      <c r="Y175" s="387"/>
      <c r="Z175" s="387"/>
    </row>
    <row r="176">
      <c r="A176" s="387"/>
      <c r="B176" s="387"/>
      <c r="C176" s="387"/>
      <c r="D176" s="387"/>
      <c r="E176" s="695"/>
      <c r="F176" s="387"/>
      <c r="G176" s="387"/>
      <c r="H176" s="387"/>
      <c r="I176" s="387"/>
      <c r="J176" s="387"/>
      <c r="K176" s="387"/>
      <c r="L176" s="695"/>
      <c r="M176" s="387"/>
      <c r="N176" s="387"/>
      <c r="O176" s="387"/>
      <c r="P176" s="387"/>
      <c r="Q176" s="387"/>
      <c r="R176" s="387"/>
      <c r="S176" s="387"/>
      <c r="T176" s="387"/>
      <c r="U176" s="387"/>
      <c r="V176" s="387"/>
      <c r="W176" s="387"/>
      <c r="X176" s="387"/>
      <c r="Y176" s="387"/>
      <c r="Z176" s="387"/>
    </row>
  </sheetData>
  <mergeCells count="72">
    <mergeCell ref="A76:F76"/>
    <mergeCell ref="A77:F77"/>
    <mergeCell ref="B86:F86"/>
    <mergeCell ref="A89:F89"/>
    <mergeCell ref="B90:F90"/>
    <mergeCell ref="B95:F95"/>
    <mergeCell ref="A98:F98"/>
    <mergeCell ref="B99:F99"/>
    <mergeCell ref="B104:F104"/>
    <mergeCell ref="A106:F106"/>
    <mergeCell ref="A108:F108"/>
    <mergeCell ref="A111:F111"/>
    <mergeCell ref="A112:F112"/>
    <mergeCell ref="B113:F113"/>
    <mergeCell ref="B147:F147"/>
    <mergeCell ref="A154:F154"/>
    <mergeCell ref="A156:F156"/>
    <mergeCell ref="A158:F159"/>
    <mergeCell ref="C160:F174"/>
    <mergeCell ref="A122:F122"/>
    <mergeCell ref="B123:F123"/>
    <mergeCell ref="A130:F130"/>
    <mergeCell ref="B131:F131"/>
    <mergeCell ref="A138:F138"/>
    <mergeCell ref="B139:F139"/>
    <mergeCell ref="A146:F146"/>
    <mergeCell ref="A9:F9"/>
    <mergeCell ref="A10:F11"/>
    <mergeCell ref="A12:F12"/>
    <mergeCell ref="A13:F13"/>
    <mergeCell ref="A15:F15"/>
    <mergeCell ref="H15:M15"/>
    <mergeCell ref="O15:T15"/>
    <mergeCell ref="O19:T19"/>
    <mergeCell ref="P20:T20"/>
    <mergeCell ref="A18:F18"/>
    <mergeCell ref="H18:M18"/>
    <mergeCell ref="O18:T18"/>
    <mergeCell ref="A19:F19"/>
    <mergeCell ref="H19:M19"/>
    <mergeCell ref="B20:F20"/>
    <mergeCell ref="I20:M20"/>
    <mergeCell ref="A25:F25"/>
    <mergeCell ref="G25:G26"/>
    <mergeCell ref="H25:M25"/>
    <mergeCell ref="O25:T25"/>
    <mergeCell ref="A32:F32"/>
    <mergeCell ref="H32:M32"/>
    <mergeCell ref="I33:M33"/>
    <mergeCell ref="B33:F33"/>
    <mergeCell ref="A39:F39"/>
    <mergeCell ref="B40:F40"/>
    <mergeCell ref="A46:F46"/>
    <mergeCell ref="A49:F49"/>
    <mergeCell ref="B52:F52"/>
    <mergeCell ref="A54:F54"/>
    <mergeCell ref="B55:F55"/>
    <mergeCell ref="A62:F62"/>
    <mergeCell ref="B63:F63"/>
    <mergeCell ref="A69:F69"/>
    <mergeCell ref="A71:F71"/>
    <mergeCell ref="A74:F75"/>
    <mergeCell ref="H76:M76"/>
    <mergeCell ref="H112:M112"/>
    <mergeCell ref="I113:M113"/>
    <mergeCell ref="H77:M77"/>
    <mergeCell ref="I78:M78"/>
    <mergeCell ref="H98:M98"/>
    <mergeCell ref="I99:M99"/>
    <mergeCell ref="G101:G102"/>
    <mergeCell ref="I104:M104"/>
    <mergeCell ref="H111:M111"/>
  </mergeCells>
  <dataValidations>
    <dataValidation type="decimal" operator="greaterThanOrEqual" allowBlank="1" showDropDown="1" showErrorMessage="1" sqref="F91:F94 F96:F97 F100:F103 F132:F135">
      <formula1>0.0</formula1>
    </dataValidation>
    <dataValidation type="decimal" operator="greaterThanOrEqual" allowBlank="1" showDropDown="1" sqref="F157">
      <formula1>0.0</formula1>
    </dataValidation>
  </dataValidation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3.63"/>
    <col customWidth="1" min="5" max="5" width="13.25"/>
    <col customWidth="1" min="8" max="8" width="13.13"/>
    <col customWidth="1" min="11" max="11" width="13.5"/>
    <col customWidth="1" min="12" max="12" width="13.88"/>
  </cols>
  <sheetData>
    <row r="1">
      <c r="A1" s="693"/>
      <c r="N1" s="387"/>
      <c r="U1" s="387"/>
    </row>
    <row r="8">
      <c r="A8" s="2"/>
      <c r="B8" s="2"/>
      <c r="C8" s="2"/>
      <c r="D8" s="2"/>
      <c r="E8" s="2"/>
      <c r="F8" s="2"/>
      <c r="G8" s="2"/>
      <c r="H8" s="2"/>
      <c r="I8" s="2"/>
      <c r="J8" s="2"/>
      <c r="K8" s="2"/>
      <c r="L8" s="2"/>
      <c r="M8" s="2"/>
    </row>
    <row r="9">
      <c r="A9" s="788" t="s">
        <v>119</v>
      </c>
      <c r="B9" s="4"/>
      <c r="C9" s="4"/>
      <c r="D9" s="4"/>
      <c r="E9" s="4"/>
      <c r="F9" s="5"/>
      <c r="G9" s="403"/>
      <c r="H9" s="15" t="s">
        <v>3</v>
      </c>
      <c r="I9" s="16"/>
      <c r="J9" s="16"/>
      <c r="K9" s="16"/>
      <c r="L9" s="16"/>
      <c r="M9" s="17"/>
    </row>
    <row r="10">
      <c r="A10" s="789" t="str">
        <f>'Week 3 Master Sheet'!A10</f>
        <v>#REF!</v>
      </c>
      <c r="B10" s="7"/>
      <c r="C10" s="7"/>
      <c r="D10" s="7"/>
      <c r="E10" s="7"/>
      <c r="F10" s="8"/>
      <c r="H10" s="18" t="s">
        <v>127</v>
      </c>
      <c r="M10" s="19"/>
    </row>
    <row r="11">
      <c r="A11" s="9"/>
      <c r="B11" s="4"/>
      <c r="C11" s="4"/>
      <c r="D11" s="4"/>
      <c r="E11" s="4"/>
      <c r="F11" s="5"/>
      <c r="H11" s="20" t="s">
        <v>128</v>
      </c>
      <c r="I11" s="21"/>
      <c r="J11" s="21"/>
      <c r="K11" s="21"/>
      <c r="L11" s="21"/>
      <c r="M11" s="22"/>
    </row>
    <row r="12">
      <c r="A12" s="790" t="str">
        <f t="shared" ref="A12:A13" si="1">'Week 3 Master Sheet'!A12</f>
        <v>#REF!</v>
      </c>
      <c r="B12" s="11"/>
      <c r="C12" s="11"/>
      <c r="D12" s="11"/>
      <c r="E12" s="11"/>
      <c r="F12" s="12"/>
      <c r="H12" s="387"/>
    </row>
    <row r="13">
      <c r="A13" s="791" t="str">
        <f t="shared" si="1"/>
        <v>#REF!</v>
      </c>
      <c r="B13" s="11"/>
      <c r="C13" s="11"/>
      <c r="D13" s="11"/>
      <c r="E13" s="11"/>
      <c r="F13" s="12"/>
    </row>
    <row r="14">
      <c r="A14" s="396" t="s">
        <v>109</v>
      </c>
    </row>
    <row r="15">
      <c r="A15" s="41" t="str">
        <f>'Week 3 Master Sheet'!A15</f>
        <v>#REF!</v>
      </c>
      <c r="B15" s="27"/>
      <c r="C15" s="27"/>
      <c r="D15" s="27"/>
      <c r="E15" s="27"/>
      <c r="F15" s="28"/>
      <c r="H15" s="397" t="str">
        <f>'Week 3 Master Sheet'!H15</f>
        <v>#REF!</v>
      </c>
      <c r="I15" s="27"/>
      <c r="J15" s="27"/>
      <c r="K15" s="27"/>
      <c r="L15" s="27"/>
      <c r="M15" s="28"/>
    </row>
    <row r="16">
      <c r="A16" s="632"/>
      <c r="H16" s="632"/>
    </row>
    <row r="18">
      <c r="A18" s="42" t="s">
        <v>129</v>
      </c>
      <c r="B18" s="27"/>
      <c r="C18" s="27"/>
      <c r="D18" s="27"/>
      <c r="E18" s="27"/>
      <c r="F18" s="28"/>
      <c r="H18" s="42" t="str">
        <f t="shared" ref="H18:H29" si="2">'Week 3 Master Sheet'!H18</f>
        <v>#REF!</v>
      </c>
      <c r="I18" s="27"/>
      <c r="J18" s="27"/>
      <c r="K18" s="27"/>
      <c r="L18" s="27"/>
      <c r="M18" s="28"/>
    </row>
    <row r="19">
      <c r="A19" s="84" t="str">
        <f>HYPERLINK("https://www.youtube.com/watch?v=iLgUDezDMbU","1. BENCH PRESS")</f>
        <v>1. BENCH PRESS</v>
      </c>
      <c r="B19" s="44"/>
      <c r="C19" s="44"/>
      <c r="D19" s="44"/>
      <c r="E19" s="44"/>
      <c r="F19" s="45"/>
      <c r="G19" s="403" t="s">
        <v>90</v>
      </c>
      <c r="H19" s="84" t="str">
        <f t="shared" si="2"/>
        <v>#REF!</v>
      </c>
      <c r="I19" s="44"/>
      <c r="J19" s="44"/>
      <c r="K19" s="44"/>
      <c r="L19" s="44"/>
      <c r="M19" s="45"/>
      <c r="N19" s="387"/>
      <c r="O19" s="66" t="str">
        <f t="shared" ref="O19:O29" si="4">'Week 3 Master Sheet'!O19</f>
        <v>#REF!</v>
      </c>
      <c r="P19" s="44"/>
      <c r="Q19" s="44"/>
      <c r="R19" s="44"/>
      <c r="S19" s="44"/>
      <c r="T19" s="45"/>
    </row>
    <row r="20">
      <c r="A20" s="193" t="str">
        <f t="shared" ref="A20:B20" si="3">'Week 3 Master Sheet'!A20</f>
        <v>#REF!</v>
      </c>
      <c r="B20" s="669" t="str">
        <f t="shared" si="3"/>
        <v>#REF!</v>
      </c>
      <c r="C20" s="4"/>
      <c r="D20" s="4"/>
      <c r="E20" s="4"/>
      <c r="F20" s="48"/>
      <c r="G20" s="403"/>
      <c r="H20" s="193" t="str">
        <f t="shared" si="2"/>
        <v>#REF!</v>
      </c>
      <c r="I20" s="669" t="str">
        <f t="shared" ref="I20:I24" si="6">'Week 3 Master Sheet'!I20</f>
        <v>#REF!</v>
      </c>
      <c r="J20" s="4"/>
      <c r="K20" s="4"/>
      <c r="L20" s="4"/>
      <c r="M20" s="48"/>
      <c r="O20" s="193" t="str">
        <f t="shared" si="4"/>
        <v>#REF!</v>
      </c>
      <c r="P20" s="669" t="str">
        <f t="shared" ref="P20:P24" si="8">'Week 3 Master Sheet'!P20</f>
        <v>#REF!</v>
      </c>
      <c r="Q20" s="4"/>
      <c r="R20" s="4"/>
      <c r="S20" s="4"/>
      <c r="T20" s="48"/>
    </row>
    <row r="21">
      <c r="A21" s="87" t="str">
        <f t="shared" ref="A21:F21" si="5">'Week 3 Master Sheet'!A21</f>
        <v>#REF!</v>
      </c>
      <c r="B21" s="88" t="str">
        <f t="shared" si="5"/>
        <v>#REF!</v>
      </c>
      <c r="C21" s="88" t="str">
        <f t="shared" si="5"/>
        <v>#REF!</v>
      </c>
      <c r="D21" s="88" t="str">
        <f t="shared" si="5"/>
        <v>#REF!</v>
      </c>
      <c r="E21" s="308" t="str">
        <f t="shared" si="5"/>
        <v>#REF!</v>
      </c>
      <c r="F21" s="202" t="str">
        <f t="shared" si="5"/>
        <v>#REF!</v>
      </c>
      <c r="H21" s="87" t="str">
        <f t="shared" si="2"/>
        <v>#REF!</v>
      </c>
      <c r="I21" s="88" t="str">
        <f t="shared" si="6"/>
        <v>#REF!</v>
      </c>
      <c r="J21" s="88" t="str">
        <f t="shared" ref="J21:M21" si="7">'Week 3 Master Sheet'!J21</f>
        <v>#REF!</v>
      </c>
      <c r="K21" s="88" t="str">
        <f t="shared" si="7"/>
        <v>#REF!</v>
      </c>
      <c r="L21" s="308" t="str">
        <f t="shared" si="7"/>
        <v>#REF!</v>
      </c>
      <c r="M21" s="202" t="str">
        <f t="shared" si="7"/>
        <v>#REF!</v>
      </c>
      <c r="O21" s="87" t="str">
        <f t="shared" si="4"/>
        <v>#REF!</v>
      </c>
      <c r="P21" s="88" t="str">
        <f t="shared" si="8"/>
        <v>#REF!</v>
      </c>
      <c r="Q21" s="88" t="str">
        <f t="shared" ref="Q21:T21" si="9">'Week 3 Master Sheet'!Q21</f>
        <v>#REF!</v>
      </c>
      <c r="R21" s="88" t="str">
        <f t="shared" si="9"/>
        <v>#REF!</v>
      </c>
      <c r="S21" s="308" t="str">
        <f t="shared" si="9"/>
        <v>#REF!</v>
      </c>
      <c r="T21" s="202" t="str">
        <f t="shared" si="9"/>
        <v>#REF!</v>
      </c>
    </row>
    <row r="22">
      <c r="A22" s="703" t="str">
        <f t="shared" ref="A22:E22" si="10">'Week 3 Master Sheet'!A22</f>
        <v>#REF!</v>
      </c>
      <c r="B22" s="311" t="str">
        <f t="shared" si="10"/>
        <v>#REF!</v>
      </c>
      <c r="C22" s="311" t="str">
        <f t="shared" si="10"/>
        <v>#REF!</v>
      </c>
      <c r="D22" s="310" t="str">
        <f t="shared" si="10"/>
        <v>#REF!</v>
      </c>
      <c r="E22" s="705" t="str">
        <f t="shared" si="10"/>
        <v>#REF!</v>
      </c>
      <c r="F22" s="76">
        <v>6.0</v>
      </c>
      <c r="H22" s="703" t="str">
        <f t="shared" si="2"/>
        <v>#REF!</v>
      </c>
      <c r="I22" s="311" t="str">
        <f t="shared" si="6"/>
        <v>#REF!</v>
      </c>
      <c r="J22" s="311" t="str">
        <f t="shared" ref="J22:L22" si="11">'Week 3 Master Sheet'!J22</f>
        <v>#REF!</v>
      </c>
      <c r="K22" s="310" t="str">
        <f t="shared" si="11"/>
        <v>#REF!</v>
      </c>
      <c r="L22" s="705" t="str">
        <f t="shared" si="11"/>
        <v>#REF!</v>
      </c>
      <c r="M22" s="76"/>
      <c r="O22" s="703" t="str">
        <f t="shared" si="4"/>
        <v>#REF!</v>
      </c>
      <c r="P22" s="311" t="str">
        <f t="shared" si="8"/>
        <v>#REF!</v>
      </c>
      <c r="Q22" s="311" t="str">
        <f t="shared" ref="Q22:S22" si="12">'Week 3 Master Sheet'!Q22</f>
        <v>#REF!</v>
      </c>
      <c r="R22" s="310" t="str">
        <f t="shared" si="12"/>
        <v>#REF!</v>
      </c>
      <c r="S22" s="705" t="str">
        <f t="shared" si="12"/>
        <v>#REF!</v>
      </c>
      <c r="T22" s="76"/>
    </row>
    <row r="23">
      <c r="A23" s="703" t="str">
        <f t="shared" ref="A23:E23" si="13">'Week 3 Master Sheet'!A23</f>
        <v>#REF!</v>
      </c>
      <c r="B23" s="311" t="str">
        <f t="shared" si="13"/>
        <v>#REF!</v>
      </c>
      <c r="C23" s="311" t="str">
        <f t="shared" si="13"/>
        <v>#REF!</v>
      </c>
      <c r="D23" s="310" t="str">
        <f t="shared" si="13"/>
        <v>#REF!</v>
      </c>
      <c r="E23" s="705" t="str">
        <f t="shared" si="13"/>
        <v>#REF!</v>
      </c>
      <c r="F23" s="76">
        <v>1.0</v>
      </c>
      <c r="H23" s="703" t="str">
        <f t="shared" si="2"/>
        <v>#REF!</v>
      </c>
      <c r="I23" s="311" t="str">
        <f t="shared" si="6"/>
        <v>#REF!</v>
      </c>
      <c r="J23" s="311" t="str">
        <f t="shared" ref="J23:L23" si="14">'Week 3 Master Sheet'!J23</f>
        <v>#REF!</v>
      </c>
      <c r="K23" s="310" t="str">
        <f t="shared" si="14"/>
        <v>#REF!</v>
      </c>
      <c r="L23" s="705" t="str">
        <f t="shared" si="14"/>
        <v>#REF!</v>
      </c>
      <c r="M23" s="76"/>
      <c r="O23" s="703" t="str">
        <f t="shared" si="4"/>
        <v>#REF!</v>
      </c>
      <c r="P23" s="311" t="str">
        <f t="shared" si="8"/>
        <v>#REF!</v>
      </c>
      <c r="Q23" s="311" t="str">
        <f t="shared" ref="Q23:S23" si="15">'Week 3 Master Sheet'!Q23</f>
        <v>#REF!</v>
      </c>
      <c r="R23" s="310" t="str">
        <f t="shared" si="15"/>
        <v>#REF!</v>
      </c>
      <c r="S23" s="705" t="str">
        <f t="shared" si="15"/>
        <v>#REF!</v>
      </c>
      <c r="T23" s="76"/>
    </row>
    <row r="24">
      <c r="A24" s="703" t="str">
        <f t="shared" ref="A24:E24" si="16">'Week 3 Master Sheet'!A24</f>
        <v>#REF!</v>
      </c>
      <c r="B24" s="311" t="str">
        <f t="shared" si="16"/>
        <v>#REF!</v>
      </c>
      <c r="C24" s="311" t="str">
        <f t="shared" si="16"/>
        <v>#REF!</v>
      </c>
      <c r="D24" s="310" t="str">
        <f t="shared" si="16"/>
        <v>#REF!</v>
      </c>
      <c r="E24" s="705" t="str">
        <f t="shared" si="16"/>
        <v>#REF!</v>
      </c>
      <c r="F24" s="76">
        <v>1.0</v>
      </c>
      <c r="H24" s="703" t="str">
        <f t="shared" si="2"/>
        <v>#REF!</v>
      </c>
      <c r="I24" s="311" t="str">
        <f t="shared" si="6"/>
        <v>#REF!</v>
      </c>
      <c r="J24" s="311" t="str">
        <f t="shared" ref="J24:L24" si="17">'Week 3 Master Sheet'!J24</f>
        <v>#REF!</v>
      </c>
      <c r="K24" s="310" t="str">
        <f t="shared" si="17"/>
        <v>#REF!</v>
      </c>
      <c r="L24" s="705" t="str">
        <f t="shared" si="17"/>
        <v>#REF!</v>
      </c>
      <c r="M24" s="76"/>
      <c r="O24" s="703" t="str">
        <f t="shared" si="4"/>
        <v>#REF!</v>
      </c>
      <c r="P24" s="311" t="str">
        <f t="shared" si="8"/>
        <v>#REF!</v>
      </c>
      <c r="Q24" s="311" t="str">
        <f t="shared" ref="Q24:S24" si="18">'Week 3 Master Sheet'!Q24</f>
        <v>#REF!</v>
      </c>
      <c r="R24" s="310" t="str">
        <f t="shared" si="18"/>
        <v>#REF!</v>
      </c>
      <c r="S24" s="705" t="str">
        <f t="shared" si="18"/>
        <v>#REF!</v>
      </c>
      <c r="T24" s="76"/>
    </row>
    <row r="25">
      <c r="A25" s="708" t="str">
        <f t="shared" ref="A25:A29" si="19">'Week 3 Master Sheet'!A25</f>
        <v>#REF!</v>
      </c>
      <c r="B25" s="4"/>
      <c r="C25" s="4"/>
      <c r="D25" s="4"/>
      <c r="E25" s="4"/>
      <c r="F25" s="48"/>
      <c r="H25" s="708" t="str">
        <f t="shared" si="2"/>
        <v>#REF!</v>
      </c>
      <c r="I25" s="4"/>
      <c r="J25" s="4"/>
      <c r="K25" s="4"/>
      <c r="L25" s="4"/>
      <c r="M25" s="48"/>
      <c r="O25" s="708" t="str">
        <f t="shared" si="4"/>
        <v>#REF!</v>
      </c>
      <c r="P25" s="4"/>
      <c r="Q25" s="4"/>
      <c r="R25" s="4"/>
      <c r="S25" s="4"/>
      <c r="T25" s="48"/>
    </row>
    <row r="26">
      <c r="A26" s="87" t="str">
        <f t="shared" si="19"/>
        <v>#REF!</v>
      </c>
      <c r="B26" s="88" t="str">
        <f t="shared" ref="B26:F26" si="20">'Week 3 Master Sheet'!B26</f>
        <v>#REF!</v>
      </c>
      <c r="C26" s="88" t="str">
        <f t="shared" si="20"/>
        <v>#REF!</v>
      </c>
      <c r="D26" s="88" t="str">
        <f t="shared" si="20"/>
        <v>#REF!</v>
      </c>
      <c r="E26" s="308" t="str">
        <f t="shared" si="20"/>
        <v>#REF!</v>
      </c>
      <c r="F26" s="202" t="str">
        <f t="shared" si="20"/>
        <v>#REF!</v>
      </c>
      <c r="H26" s="87" t="str">
        <f t="shared" si="2"/>
        <v>#REF!</v>
      </c>
      <c r="I26" s="88" t="str">
        <f t="shared" ref="I26:M26" si="21">'Week 3 Master Sheet'!I26</f>
        <v>#REF!</v>
      </c>
      <c r="J26" s="88" t="str">
        <f t="shared" si="21"/>
        <v>#REF!</v>
      </c>
      <c r="K26" s="88" t="str">
        <f t="shared" si="21"/>
        <v>#REF!</v>
      </c>
      <c r="L26" s="308" t="str">
        <f t="shared" si="21"/>
        <v>#REF!</v>
      </c>
      <c r="M26" s="202" t="str">
        <f t="shared" si="21"/>
        <v>#REF!</v>
      </c>
      <c r="O26" s="87" t="str">
        <f t="shared" si="4"/>
        <v>#REF!</v>
      </c>
      <c r="P26" s="88" t="str">
        <f t="shared" ref="P26:T26" si="22">'Week 3 Master Sheet'!P26</f>
        <v>#REF!</v>
      </c>
      <c r="Q26" s="88" t="str">
        <f t="shared" si="22"/>
        <v>#REF!</v>
      </c>
      <c r="R26" s="88" t="str">
        <f t="shared" si="22"/>
        <v>#REF!</v>
      </c>
      <c r="S26" s="308" t="str">
        <f t="shared" si="22"/>
        <v>#REF!</v>
      </c>
      <c r="T26" s="202" t="str">
        <f t="shared" si="22"/>
        <v>#REF!</v>
      </c>
    </row>
    <row r="27">
      <c r="A27" s="703" t="str">
        <f t="shared" si="19"/>
        <v>#REF!</v>
      </c>
      <c r="B27" s="315" t="str">
        <f t="shared" ref="B27:E27" si="23">'Week 3 Master Sheet'!B27</f>
        <v>#REF!</v>
      </c>
      <c r="C27" s="408" t="str">
        <f t="shared" si="23"/>
        <v>#REF!</v>
      </c>
      <c r="D27" s="310" t="str">
        <f t="shared" si="23"/>
        <v>#REF!</v>
      </c>
      <c r="E27" s="705" t="str">
        <f t="shared" si="23"/>
        <v>#REF!</v>
      </c>
      <c r="F27" s="76">
        <v>12.0</v>
      </c>
      <c r="H27" s="703" t="str">
        <f t="shared" si="2"/>
        <v>#REF!</v>
      </c>
      <c r="I27" s="315" t="str">
        <f t="shared" ref="I27:L27" si="24">'Week 3 Master Sheet'!I27</f>
        <v>#REF!</v>
      </c>
      <c r="J27" s="408" t="str">
        <f t="shared" si="24"/>
        <v>#REF!</v>
      </c>
      <c r="K27" s="310" t="str">
        <f t="shared" si="24"/>
        <v>#REF!</v>
      </c>
      <c r="L27" s="705" t="str">
        <f t="shared" si="24"/>
        <v>#REF!</v>
      </c>
      <c r="M27" s="76"/>
      <c r="O27" s="703" t="str">
        <f t="shared" si="4"/>
        <v>#REF!</v>
      </c>
      <c r="P27" s="315" t="str">
        <f t="shared" ref="P27:S27" si="25">'Week 3 Master Sheet'!P27</f>
        <v>#REF!</v>
      </c>
      <c r="Q27" s="408" t="str">
        <f t="shared" si="25"/>
        <v>#REF!</v>
      </c>
      <c r="R27" s="310" t="str">
        <f t="shared" si="25"/>
        <v>#REF!</v>
      </c>
      <c r="S27" s="705" t="str">
        <f t="shared" si="25"/>
        <v>#REF!</v>
      </c>
      <c r="T27" s="76"/>
    </row>
    <row r="28">
      <c r="A28" s="703" t="str">
        <f t="shared" si="19"/>
        <v>#REF!</v>
      </c>
      <c r="B28" s="315" t="str">
        <f t="shared" ref="B28:E28" si="26">'Week 3 Master Sheet'!B28</f>
        <v>#REF!</v>
      </c>
      <c r="C28" s="408" t="str">
        <f t="shared" si="26"/>
        <v>#REF!</v>
      </c>
      <c r="D28" s="310" t="str">
        <f t="shared" si="26"/>
        <v>#REF!</v>
      </c>
      <c r="E28" s="705" t="str">
        <f t="shared" si="26"/>
        <v>#REF!</v>
      </c>
      <c r="F28" s="76">
        <v>18.0</v>
      </c>
      <c r="H28" s="703" t="str">
        <f t="shared" si="2"/>
        <v>#REF!</v>
      </c>
      <c r="I28" s="315" t="str">
        <f t="shared" ref="I28:L28" si="27">'Week 3 Master Sheet'!I28</f>
        <v>#REF!</v>
      </c>
      <c r="J28" s="408" t="str">
        <f t="shared" si="27"/>
        <v>#REF!</v>
      </c>
      <c r="K28" s="310" t="str">
        <f t="shared" si="27"/>
        <v>#REF!</v>
      </c>
      <c r="L28" s="705" t="str">
        <f t="shared" si="27"/>
        <v>#REF!</v>
      </c>
      <c r="M28" s="76"/>
      <c r="O28" s="703" t="str">
        <f t="shared" si="4"/>
        <v>#REF!</v>
      </c>
      <c r="P28" s="315" t="str">
        <f t="shared" ref="P28:S28" si="28">'Week 3 Master Sheet'!P28</f>
        <v>#REF!</v>
      </c>
      <c r="Q28" s="408" t="str">
        <f t="shared" si="28"/>
        <v>#REF!</v>
      </c>
      <c r="R28" s="310" t="str">
        <f t="shared" si="28"/>
        <v>#REF!</v>
      </c>
      <c r="S28" s="705" t="str">
        <f t="shared" si="28"/>
        <v>#REF!</v>
      </c>
      <c r="T28" s="76"/>
    </row>
    <row r="29">
      <c r="A29" s="731" t="str">
        <f t="shared" si="19"/>
        <v>#REF!</v>
      </c>
      <c r="B29" s="710" t="str">
        <f t="shared" ref="B29:E29" si="29">'Week 3 Master Sheet'!B29</f>
        <v>#REF!</v>
      </c>
      <c r="C29" s="711" t="str">
        <f t="shared" si="29"/>
        <v>#REF!</v>
      </c>
      <c r="D29" s="457" t="str">
        <f t="shared" si="29"/>
        <v>#REF!</v>
      </c>
      <c r="E29" s="712" t="str">
        <f t="shared" si="29"/>
        <v>#REF!</v>
      </c>
      <c r="F29" s="76">
        <v>10.0</v>
      </c>
      <c r="H29" s="713" t="str">
        <f t="shared" si="2"/>
        <v>#REF!</v>
      </c>
      <c r="I29" s="714" t="str">
        <f t="shared" ref="I29:L29" si="30">'Week 3 Master Sheet'!I29</f>
        <v>#REF!</v>
      </c>
      <c r="J29" s="715" t="str">
        <f t="shared" si="30"/>
        <v>#REF!</v>
      </c>
      <c r="K29" s="716" t="str">
        <f t="shared" si="30"/>
        <v>#REF!</v>
      </c>
      <c r="L29" s="717" t="str">
        <f t="shared" si="30"/>
        <v>#REF!</v>
      </c>
      <c r="M29" s="76"/>
      <c r="O29" s="731" t="str">
        <f t="shared" si="4"/>
        <v>#REF!</v>
      </c>
      <c r="P29" s="710" t="str">
        <f t="shared" ref="P29:S29" si="31">'Week 3 Master Sheet'!P29</f>
        <v>#REF!</v>
      </c>
      <c r="Q29" s="711" t="str">
        <f t="shared" si="31"/>
        <v>#REF!</v>
      </c>
      <c r="R29" s="457" t="str">
        <f t="shared" si="31"/>
        <v>#REF!</v>
      </c>
      <c r="S29" s="712" t="str">
        <f t="shared" si="31"/>
        <v>#REF!</v>
      </c>
      <c r="T29" s="76"/>
    </row>
    <row r="30">
      <c r="A30" s="718"/>
      <c r="H30" s="720"/>
      <c r="I30" s="16"/>
      <c r="J30" s="16"/>
      <c r="K30" s="16"/>
      <c r="L30" s="16"/>
      <c r="M30" s="16"/>
      <c r="N30" s="16"/>
      <c r="O30" s="16"/>
      <c r="P30" s="16"/>
      <c r="Q30" s="16"/>
      <c r="R30" s="16"/>
      <c r="S30" s="16"/>
      <c r="T30" s="16"/>
    </row>
    <row r="32">
      <c r="A32" s="411" t="str">
        <f t="shared" ref="A32:A36" si="32">'Week 3 Master Sheet'!A32</f>
        <v>#REF!</v>
      </c>
      <c r="B32" s="44"/>
      <c r="C32" s="44"/>
      <c r="D32" s="44"/>
      <c r="E32" s="44"/>
      <c r="F32" s="45"/>
      <c r="G32" s="403" t="s">
        <v>90</v>
      </c>
      <c r="H32" s="411" t="str">
        <f t="shared" ref="H32:H36" si="33">'Week 3 Master Sheet'!H32</f>
        <v>#REF!</v>
      </c>
      <c r="I32" s="44"/>
      <c r="J32" s="44"/>
      <c r="K32" s="44"/>
      <c r="L32" s="44"/>
      <c r="M32" s="45"/>
      <c r="N32" s="632"/>
    </row>
    <row r="33">
      <c r="A33" s="193" t="str">
        <f t="shared" si="32"/>
        <v>#REF!</v>
      </c>
      <c r="B33" s="669" t="str">
        <f t="shared" ref="B33:B36" si="34">'Week 3 Master Sheet'!B33</f>
        <v>#REF!</v>
      </c>
      <c r="C33" s="4"/>
      <c r="D33" s="4"/>
      <c r="E33" s="4"/>
      <c r="F33" s="48"/>
      <c r="G33" s="403"/>
      <c r="H33" s="193" t="str">
        <f t="shared" si="33"/>
        <v>#REF!</v>
      </c>
      <c r="I33" s="669" t="str">
        <f t="shared" ref="I33:I36" si="36">'Week 3 Master Sheet'!I33</f>
        <v>#REF!</v>
      </c>
      <c r="J33" s="4"/>
      <c r="K33" s="4"/>
      <c r="L33" s="4"/>
      <c r="M33" s="48"/>
    </row>
    <row r="34">
      <c r="A34" s="721" t="str">
        <f t="shared" si="32"/>
        <v>#REF!</v>
      </c>
      <c r="B34" s="722" t="str">
        <f t="shared" si="34"/>
        <v>#REF!</v>
      </c>
      <c r="C34" s="722" t="str">
        <f t="shared" ref="C34:F34" si="35">'Week 3 Master Sheet'!C34</f>
        <v>#REF!</v>
      </c>
      <c r="D34" s="722" t="str">
        <f t="shared" si="35"/>
        <v>#REF!</v>
      </c>
      <c r="E34" s="723" t="str">
        <f t="shared" si="35"/>
        <v>#REF!</v>
      </c>
      <c r="F34" s="202" t="str">
        <f t="shared" si="35"/>
        <v>#REF!</v>
      </c>
      <c r="H34" s="721" t="str">
        <f t="shared" si="33"/>
        <v>#REF!</v>
      </c>
      <c r="I34" s="722" t="str">
        <f t="shared" si="36"/>
        <v>#REF!</v>
      </c>
      <c r="J34" s="722" t="str">
        <f t="shared" ref="J34:M34" si="37">'Week 3 Master Sheet'!J34</f>
        <v>#REF!</v>
      </c>
      <c r="K34" s="722" t="str">
        <f t="shared" si="37"/>
        <v>#REF!</v>
      </c>
      <c r="L34" s="723" t="str">
        <f t="shared" si="37"/>
        <v>#REF!</v>
      </c>
      <c r="M34" s="202" t="str">
        <f t="shared" si="37"/>
        <v>#REF!</v>
      </c>
    </row>
    <row r="35">
      <c r="A35" s="703" t="str">
        <f t="shared" si="32"/>
        <v>#REF!</v>
      </c>
      <c r="B35" s="221" t="str">
        <f t="shared" si="34"/>
        <v>#REF!</v>
      </c>
      <c r="C35" s="311" t="str">
        <f t="shared" ref="C35:E35" si="38">'Week 3 Master Sheet'!C35</f>
        <v>#REF!</v>
      </c>
      <c r="D35" s="310" t="str">
        <f t="shared" si="38"/>
        <v>#REF!</v>
      </c>
      <c r="E35" s="705" t="str">
        <f t="shared" si="38"/>
        <v>#REF!</v>
      </c>
      <c r="F35" s="76">
        <v>15.0</v>
      </c>
      <c r="H35" s="703" t="str">
        <f t="shared" si="33"/>
        <v>#REF!</v>
      </c>
      <c r="I35" s="221" t="str">
        <f t="shared" si="36"/>
        <v>#REF!</v>
      </c>
      <c r="J35" s="311" t="str">
        <f t="shared" ref="J35:L35" si="39">'Week 3 Master Sheet'!J35</f>
        <v>#REF!</v>
      </c>
      <c r="K35" s="310" t="str">
        <f t="shared" si="39"/>
        <v>#REF!</v>
      </c>
      <c r="L35" s="705" t="str">
        <f t="shared" si="39"/>
        <v>#REF!</v>
      </c>
      <c r="M35" s="76"/>
    </row>
    <row r="36">
      <c r="A36" s="725" t="str">
        <f t="shared" si="32"/>
        <v>#REF!</v>
      </c>
      <c r="B36" s="639" t="str">
        <f t="shared" si="34"/>
        <v>#REF!</v>
      </c>
      <c r="C36" s="792" t="str">
        <f t="shared" ref="C36:E36" si="40">'Week 3 Master Sheet'!C36</f>
        <v>#REF!</v>
      </c>
      <c r="D36" s="457" t="str">
        <f t="shared" si="40"/>
        <v>#REF!</v>
      </c>
      <c r="E36" s="712" t="str">
        <f t="shared" si="40"/>
        <v>#REF!</v>
      </c>
      <c r="F36" s="76">
        <v>15.0</v>
      </c>
      <c r="H36" s="725" t="str">
        <f t="shared" si="33"/>
        <v>#REF!</v>
      </c>
      <c r="I36" s="639" t="str">
        <f t="shared" si="36"/>
        <v>#REF!</v>
      </c>
      <c r="J36" s="792" t="str">
        <f t="shared" ref="J36:L36" si="41">'Week 3 Master Sheet'!J36</f>
        <v>#REF!</v>
      </c>
      <c r="K36" s="457" t="str">
        <f t="shared" si="41"/>
        <v>#REF!</v>
      </c>
      <c r="L36" s="712" t="str">
        <f t="shared" si="41"/>
        <v>#REF!</v>
      </c>
      <c r="M36" s="76"/>
    </row>
    <row r="37">
      <c r="A37" s="387"/>
      <c r="H37" s="632"/>
    </row>
    <row r="39">
      <c r="A39" s="473" t="str">
        <f t="shared" ref="A39:A52" si="42">'Week 3 Master Sheet'!A39</f>
        <v>#REF!</v>
      </c>
      <c r="B39" s="44"/>
      <c r="C39" s="44"/>
      <c r="D39" s="44"/>
      <c r="E39" s="44"/>
      <c r="F39" s="45"/>
    </row>
    <row r="40">
      <c r="A40" s="193" t="str">
        <f t="shared" si="42"/>
        <v>#REF!</v>
      </c>
      <c r="B40" s="194" t="str">
        <f t="shared" ref="B40:B45" si="43">'Week 3 Master Sheet'!B40</f>
        <v>#REF!</v>
      </c>
      <c r="C40" s="11"/>
      <c r="D40" s="11"/>
      <c r="E40" s="11"/>
      <c r="F40" s="86"/>
    </row>
    <row r="41">
      <c r="A41" s="198" t="str">
        <f t="shared" si="42"/>
        <v>#REF!</v>
      </c>
      <c r="B41" s="199" t="str">
        <f t="shared" si="43"/>
        <v>#REF!</v>
      </c>
      <c r="C41" s="199" t="str">
        <f t="shared" ref="C41:F41" si="44">'Week 3 Master Sheet'!C41</f>
        <v>#REF!</v>
      </c>
      <c r="D41" s="199" t="str">
        <f t="shared" si="44"/>
        <v>#REF!</v>
      </c>
      <c r="E41" s="200" t="str">
        <f t="shared" si="44"/>
        <v>#REF!</v>
      </c>
      <c r="F41" s="202" t="str">
        <f t="shared" si="44"/>
        <v>#REF!</v>
      </c>
    </row>
    <row r="42">
      <c r="A42" s="203" t="str">
        <f t="shared" si="42"/>
        <v>#REF!</v>
      </c>
      <c r="B42" s="204" t="str">
        <f t="shared" si="43"/>
        <v>#REF!</v>
      </c>
      <c r="C42" s="204" t="str">
        <f t="shared" ref="C42:E42" si="45">'Week 3 Master Sheet'!C42</f>
        <v>#REF!</v>
      </c>
      <c r="D42" s="205" t="str">
        <f t="shared" si="45"/>
        <v>#REF!</v>
      </c>
      <c r="E42" s="57" t="str">
        <f t="shared" si="45"/>
        <v>#REF!</v>
      </c>
      <c r="F42" s="58">
        <v>6.0</v>
      </c>
    </row>
    <row r="43">
      <c r="A43" s="203" t="str">
        <f t="shared" si="42"/>
        <v>#REF!</v>
      </c>
      <c r="B43" s="204" t="str">
        <f t="shared" si="43"/>
        <v>#REF!</v>
      </c>
      <c r="C43" s="205" t="str">
        <f t="shared" ref="C43:E43" si="46">'Week 3 Master Sheet'!C43</f>
        <v>#REF!</v>
      </c>
      <c r="D43" s="205" t="str">
        <f t="shared" si="46"/>
        <v>#REF!</v>
      </c>
      <c r="E43" s="57" t="str">
        <f t="shared" si="46"/>
        <v>#REF!</v>
      </c>
      <c r="F43" s="58">
        <v>3.0</v>
      </c>
    </row>
    <row r="44">
      <c r="A44" s="209" t="str">
        <f t="shared" si="42"/>
        <v>#REF!</v>
      </c>
      <c r="B44" s="204" t="str">
        <f t="shared" si="43"/>
        <v>#REF!</v>
      </c>
      <c r="C44" s="54" t="str">
        <f t="shared" ref="C44:E44" si="47">'Week 3 Master Sheet'!C44</f>
        <v>#REF!</v>
      </c>
      <c r="D44" s="205" t="str">
        <f t="shared" si="47"/>
        <v>#REF!</v>
      </c>
      <c r="E44" s="57" t="str">
        <f t="shared" si="47"/>
        <v>#REF!</v>
      </c>
      <c r="F44" s="58">
        <v>2.0</v>
      </c>
    </row>
    <row r="45">
      <c r="A45" s="210" t="str">
        <f t="shared" si="42"/>
        <v>#REF!</v>
      </c>
      <c r="B45" s="204" t="str">
        <f t="shared" si="43"/>
        <v>#REF!</v>
      </c>
      <c r="C45" s="224" t="str">
        <f t="shared" ref="C45:E45" si="48">'Week 3 Master Sheet'!C45</f>
        <v>#REF!</v>
      </c>
      <c r="D45" s="205" t="str">
        <f t="shared" si="48"/>
        <v>#REF!</v>
      </c>
      <c r="E45" s="57" t="str">
        <f t="shared" si="48"/>
        <v>#REF!</v>
      </c>
      <c r="F45" s="58">
        <v>3.0</v>
      </c>
    </row>
    <row r="46">
      <c r="A46" s="213" t="str">
        <f t="shared" si="42"/>
        <v>#REF!</v>
      </c>
      <c r="B46" s="11"/>
      <c r="C46" s="11"/>
      <c r="D46" s="11"/>
      <c r="E46" s="11"/>
      <c r="F46" s="86"/>
    </row>
    <row r="47">
      <c r="A47" s="216" t="str">
        <f t="shared" si="42"/>
        <v>#REF!</v>
      </c>
      <c r="B47" s="142" t="str">
        <f t="shared" ref="B47:E47" si="49">'Week 3 Master Sheet'!B47</f>
        <v>#REF!</v>
      </c>
      <c r="C47" s="205" t="str">
        <f t="shared" si="49"/>
        <v>#REF!</v>
      </c>
      <c r="D47" s="205" t="str">
        <f t="shared" si="49"/>
        <v>#REF!</v>
      </c>
      <c r="E47" s="217" t="str">
        <f t="shared" si="49"/>
        <v>#REF!</v>
      </c>
      <c r="F47" s="58">
        <v>4.0</v>
      </c>
    </row>
    <row r="48">
      <c r="A48" s="226" t="str">
        <f t="shared" si="42"/>
        <v>#REF!</v>
      </c>
      <c r="B48" s="204" t="str">
        <f t="shared" ref="B48:E48" si="50">'Week 3 Master Sheet'!B48</f>
        <v>#REF!</v>
      </c>
      <c r="C48" s="224" t="str">
        <f t="shared" si="50"/>
        <v>#REF!</v>
      </c>
      <c r="D48" s="224" t="str">
        <f t="shared" si="50"/>
        <v>#REF!</v>
      </c>
      <c r="E48" s="225" t="str">
        <f t="shared" si="50"/>
        <v>#REF!</v>
      </c>
      <c r="F48" s="58">
        <v>4.0</v>
      </c>
    </row>
    <row r="49">
      <c r="A49" s="213" t="str">
        <f t="shared" si="42"/>
        <v>#REF!</v>
      </c>
      <c r="B49" s="11"/>
      <c r="C49" s="11"/>
      <c r="D49" s="11"/>
      <c r="E49" s="11"/>
      <c r="F49" s="86"/>
    </row>
    <row r="50">
      <c r="A50" s="216" t="str">
        <f t="shared" si="42"/>
        <v>#REF!</v>
      </c>
      <c r="B50" s="142" t="str">
        <f t="shared" ref="B50:D50" si="51">'Week 3 Master Sheet'!B50</f>
        <v>#REF!</v>
      </c>
      <c r="C50" s="408" t="str">
        <f t="shared" si="51"/>
        <v>#REF!</v>
      </c>
      <c r="D50" s="205" t="str">
        <f t="shared" si="51"/>
        <v>#REF!</v>
      </c>
      <c r="E50" s="235"/>
      <c r="F50" s="76">
        <v>12.0</v>
      </c>
    </row>
    <row r="51">
      <c r="A51" s="226" t="str">
        <f t="shared" si="42"/>
        <v>#REF!</v>
      </c>
      <c r="B51" s="204" t="str">
        <f t="shared" ref="B51:D51" si="52">'Week 3 Master Sheet'!B51</f>
        <v>#REF!</v>
      </c>
      <c r="C51" s="793" t="str">
        <f t="shared" si="52"/>
        <v>#REF!</v>
      </c>
      <c r="D51" s="224" t="str">
        <f t="shared" si="52"/>
        <v>#REF!</v>
      </c>
      <c r="E51" s="225"/>
      <c r="F51" s="76">
        <v>17.0</v>
      </c>
    </row>
    <row r="52">
      <c r="A52" s="193" t="str">
        <f t="shared" si="42"/>
        <v>#REF!</v>
      </c>
      <c r="B52" s="669" t="str">
        <f>'Week 3 Master Sheet'!B52</f>
        <v>#REF!</v>
      </c>
      <c r="C52" s="4"/>
      <c r="D52" s="4"/>
      <c r="E52" s="4"/>
      <c r="F52" s="48"/>
    </row>
    <row r="53">
      <c r="A53" s="794"/>
      <c r="B53" s="795"/>
      <c r="C53" s="795"/>
      <c r="D53" s="795"/>
      <c r="E53" s="795"/>
      <c r="F53" s="795"/>
    </row>
    <row r="54">
      <c r="A54" s="796" t="str">
        <f t="shared" ref="A54:A59" si="53">'Week 3 Master Sheet'!A54</f>
        <v>#REF!</v>
      </c>
      <c r="B54" s="4"/>
      <c r="C54" s="4"/>
      <c r="D54" s="4"/>
      <c r="E54" s="4"/>
      <c r="F54" s="48"/>
    </row>
    <row r="55">
      <c r="A55" s="193" t="str">
        <f t="shared" si="53"/>
        <v>#REF!</v>
      </c>
      <c r="B55" s="669" t="str">
        <f t="shared" ref="B55:B58" si="54">'Week 3 Master Sheet'!B55</f>
        <v>#REF!</v>
      </c>
      <c r="C55" s="4"/>
      <c r="D55" s="4"/>
      <c r="E55" s="4"/>
      <c r="F55" s="48"/>
    </row>
    <row r="56">
      <c r="A56" s="87" t="str">
        <f t="shared" si="53"/>
        <v>#REF!</v>
      </c>
      <c r="B56" s="88" t="str">
        <f t="shared" si="54"/>
        <v>#REF!</v>
      </c>
      <c r="C56" s="88" t="str">
        <f t="shared" ref="C56:F56" si="55">'Week 3 Master Sheet'!C56</f>
        <v>#REF!</v>
      </c>
      <c r="D56" s="88" t="str">
        <f t="shared" si="55"/>
        <v>#REF!</v>
      </c>
      <c r="E56" s="308" t="str">
        <f t="shared" si="55"/>
        <v>#REF!</v>
      </c>
      <c r="F56" s="202" t="str">
        <f t="shared" si="55"/>
        <v>#REF!</v>
      </c>
    </row>
    <row r="57">
      <c r="A57" s="703" t="str">
        <f t="shared" si="53"/>
        <v>#REF!</v>
      </c>
      <c r="B57" s="311" t="str">
        <f t="shared" si="54"/>
        <v>#REF!</v>
      </c>
      <c r="C57" s="408" t="str">
        <f t="shared" ref="C57:E57" si="56">'Week 3 Master Sheet'!C57</f>
        <v>#REF!</v>
      </c>
      <c r="D57" s="310" t="str">
        <f t="shared" si="56"/>
        <v>#REF!</v>
      </c>
      <c r="E57" s="730" t="str">
        <f t="shared" si="56"/>
        <v>#REF!</v>
      </c>
      <c r="F57" s="76">
        <v>4.0</v>
      </c>
    </row>
    <row r="58">
      <c r="A58" s="703" t="str">
        <f t="shared" si="53"/>
        <v>#REF!</v>
      </c>
      <c r="B58" s="311" t="str">
        <f t="shared" si="54"/>
        <v>#REF!</v>
      </c>
      <c r="C58" s="408" t="str">
        <f t="shared" ref="C58:E58" si="57">'Week 3 Master Sheet'!C58</f>
        <v>#REF!</v>
      </c>
      <c r="D58" s="310" t="str">
        <f t="shared" si="57"/>
        <v>#REF!</v>
      </c>
      <c r="E58" s="730" t="str">
        <f t="shared" si="57"/>
        <v>#REF!</v>
      </c>
      <c r="F58" s="76">
        <v>8.0</v>
      </c>
    </row>
    <row r="59">
      <c r="A59" s="731" t="str">
        <f t="shared" si="53"/>
        <v>#REF!</v>
      </c>
      <c r="B59" s="457">
        <v>185.0</v>
      </c>
      <c r="C59" s="711" t="str">
        <f t="shared" ref="C59:E59" si="58">'Week 3 Master Sheet'!C59</f>
        <v>#REF!</v>
      </c>
      <c r="D59" s="457" t="str">
        <f t="shared" si="58"/>
        <v>#REF!</v>
      </c>
      <c r="E59" s="733" t="str">
        <f t="shared" si="58"/>
        <v>#REF!</v>
      </c>
      <c r="F59" s="797">
        <v>8.0</v>
      </c>
    </row>
    <row r="60">
      <c r="A60" s="734"/>
    </row>
    <row r="62">
      <c r="A62" s="473" t="str">
        <f t="shared" ref="A62:A63" si="59">'Week 3 Master Sheet'!A62</f>
        <v>#REF!</v>
      </c>
      <c r="B62" s="44"/>
      <c r="C62" s="44"/>
      <c r="D62" s="44"/>
      <c r="E62" s="44"/>
      <c r="F62" s="45"/>
    </row>
    <row r="63">
      <c r="A63" s="193" t="str">
        <f t="shared" si="59"/>
        <v>#REF!</v>
      </c>
      <c r="B63" s="669" t="str">
        <f>'Week 3 Master Sheet'!B63</f>
        <v>#REF!</v>
      </c>
      <c r="C63" s="4"/>
      <c r="D63" s="4"/>
      <c r="E63" s="4"/>
      <c r="F63" s="48"/>
    </row>
    <row r="64">
      <c r="A64" s="87" t="str">
        <f t="shared" ref="A64:E64" si="60">'Week 3 Master Sheet'!A56</f>
        <v>#REF!</v>
      </c>
      <c r="B64" s="88" t="str">
        <f t="shared" si="60"/>
        <v>#REF!</v>
      </c>
      <c r="C64" s="88" t="str">
        <f t="shared" si="60"/>
        <v>#REF!</v>
      </c>
      <c r="D64" s="88" t="str">
        <f t="shared" si="60"/>
        <v>#REF!</v>
      </c>
      <c r="E64" s="308" t="str">
        <f t="shared" si="60"/>
        <v>#REF!</v>
      </c>
      <c r="F64" s="202" t="str">
        <f>'Week 3 Master Sheet'!F64</f>
        <v>#REF!</v>
      </c>
    </row>
    <row r="65">
      <c r="A65" s="703" t="str">
        <f t="shared" ref="A65:E65" si="61">'Week 3 Master Sheet'!A65</f>
        <v>#REF!</v>
      </c>
      <c r="B65" s="311" t="str">
        <f t="shared" si="61"/>
        <v>#REF!</v>
      </c>
      <c r="C65" s="408" t="str">
        <f t="shared" si="61"/>
        <v>#REF!</v>
      </c>
      <c r="D65" s="310" t="str">
        <f t="shared" si="61"/>
        <v>#REF!</v>
      </c>
      <c r="E65" s="705" t="str">
        <f t="shared" si="61"/>
        <v>#REF!</v>
      </c>
      <c r="F65" s="76">
        <v>5.0</v>
      </c>
    </row>
    <row r="66">
      <c r="A66" s="703" t="str">
        <f t="shared" ref="A66:E66" si="62">'Week 3 Master Sheet'!A66</f>
        <v>#REF!</v>
      </c>
      <c r="B66" s="311" t="str">
        <f t="shared" si="62"/>
        <v>#REF!</v>
      </c>
      <c r="C66" s="408" t="str">
        <f t="shared" si="62"/>
        <v>#REF!</v>
      </c>
      <c r="D66" s="310" t="str">
        <f t="shared" si="62"/>
        <v>#REF!</v>
      </c>
      <c r="E66" s="705" t="str">
        <f t="shared" si="62"/>
        <v>#REF!</v>
      </c>
      <c r="F66" s="76">
        <v>6.0</v>
      </c>
    </row>
    <row r="67">
      <c r="A67" s="731" t="str">
        <f t="shared" ref="A67:E67" si="63">'Week 3 Master Sheet'!A67</f>
        <v>#REF!</v>
      </c>
      <c r="B67" s="732" t="str">
        <f t="shared" si="63"/>
        <v>#REF!</v>
      </c>
      <c r="C67" s="711" t="str">
        <f t="shared" si="63"/>
        <v>#REF!</v>
      </c>
      <c r="D67" s="457" t="str">
        <f t="shared" si="63"/>
        <v>#REF!</v>
      </c>
      <c r="E67" s="712" t="str">
        <f t="shared" si="63"/>
        <v>#REF!</v>
      </c>
      <c r="F67" s="76"/>
    </row>
    <row r="68">
      <c r="A68" s="387"/>
    </row>
    <row r="69">
      <c r="A69" s="798" t="str">
        <f>'Week 3 Master Sheet'!A69</f>
        <v>#REF!</v>
      </c>
      <c r="B69" s="27"/>
      <c r="C69" s="27"/>
      <c r="D69" s="27"/>
      <c r="E69" s="27"/>
      <c r="F69" s="28"/>
    </row>
    <row r="70">
      <c r="A70" s="799"/>
    </row>
    <row r="71">
      <c r="A71" s="41" t="str">
        <f>'Week 3 Master Sheet'!A71</f>
        <v>#REF!</v>
      </c>
      <c r="B71" s="27"/>
      <c r="C71" s="27"/>
      <c r="D71" s="27"/>
      <c r="E71" s="27"/>
      <c r="F71" s="28"/>
    </row>
    <row r="72">
      <c r="A72" s="743"/>
    </row>
    <row r="74">
      <c r="A74" s="476" t="str">
        <f>'Week 3 Master Sheet'!A74</f>
        <v>#REF!</v>
      </c>
      <c r="B74" s="16"/>
      <c r="C74" s="16"/>
      <c r="D74" s="16"/>
      <c r="E74" s="16"/>
      <c r="F74" s="17"/>
    </row>
    <row r="75">
      <c r="A75" s="303"/>
      <c r="B75" s="2"/>
      <c r="C75" s="2"/>
      <c r="D75" s="2"/>
      <c r="E75" s="2"/>
      <c r="F75" s="37"/>
    </row>
    <row r="76">
      <c r="A76" s="42" t="str">
        <f t="shared" ref="A76:A86" si="64">'Week 3 Master Sheet'!A76</f>
        <v>#REF!</v>
      </c>
      <c r="B76" s="27"/>
      <c r="C76" s="27"/>
      <c r="D76" s="27"/>
      <c r="E76" s="27"/>
      <c r="F76" s="28"/>
      <c r="H76" s="42" t="str">
        <f t="shared" ref="H76:H84" si="65">'Week 3 Master Sheet'!H76</f>
        <v>#REF!</v>
      </c>
      <c r="I76" s="27"/>
      <c r="J76" s="27"/>
      <c r="K76" s="27"/>
      <c r="L76" s="27"/>
      <c r="M76" s="28"/>
      <c r="N76" s="387"/>
    </row>
    <row r="77">
      <c r="A77" s="800" t="str">
        <f t="shared" si="64"/>
        <v>#REF!</v>
      </c>
      <c r="B77" s="44"/>
      <c r="C77" s="44"/>
      <c r="D77" s="44"/>
      <c r="E77" s="44"/>
      <c r="F77" s="45"/>
      <c r="G77" s="403" t="s">
        <v>90</v>
      </c>
      <c r="H77" s="461" t="str">
        <f t="shared" si="65"/>
        <v>#REF!</v>
      </c>
      <c r="I77" s="44"/>
      <c r="J77" s="44"/>
      <c r="K77" s="44"/>
      <c r="L77" s="44"/>
      <c r="M77" s="45"/>
    </row>
    <row r="78">
      <c r="A78" s="87" t="str">
        <f t="shared" si="64"/>
        <v>#REF!</v>
      </c>
      <c r="B78" s="88" t="str">
        <f t="shared" ref="B78:F78" si="66">'Week 3 Master Sheet'!B78</f>
        <v>#REF!</v>
      </c>
      <c r="C78" s="88" t="str">
        <f t="shared" si="66"/>
        <v>#REF!</v>
      </c>
      <c r="D78" s="88" t="str">
        <f t="shared" si="66"/>
        <v>#REF!</v>
      </c>
      <c r="E78" s="308" t="str">
        <f t="shared" si="66"/>
        <v>#REF!</v>
      </c>
      <c r="F78" s="202" t="str">
        <f t="shared" si="66"/>
        <v>#REF!</v>
      </c>
      <c r="G78" s="403"/>
      <c r="H78" s="193" t="str">
        <f t="shared" si="65"/>
        <v>#REF!</v>
      </c>
      <c r="I78" s="669" t="str">
        <f t="shared" ref="I78:I84" si="68">'Week 3 Master Sheet'!I78</f>
        <v>#REF!</v>
      </c>
      <c r="J78" s="4"/>
      <c r="K78" s="4"/>
      <c r="L78" s="4"/>
      <c r="M78" s="48"/>
    </row>
    <row r="79">
      <c r="A79" s="309" t="str">
        <f t="shared" si="64"/>
        <v>#REF!</v>
      </c>
      <c r="B79" s="310" t="str">
        <f t="shared" ref="B79:E79" si="67">'Week 3 Master Sheet'!B79</f>
        <v>#REF!</v>
      </c>
      <c r="C79" s="311" t="str">
        <f t="shared" si="67"/>
        <v>#REF!</v>
      </c>
      <c r="D79" s="312" t="str">
        <f t="shared" si="67"/>
        <v>#REF!</v>
      </c>
      <c r="E79" s="313" t="str">
        <f t="shared" si="67"/>
        <v>#REF!</v>
      </c>
      <c r="F79" s="76"/>
      <c r="H79" s="87" t="str">
        <f t="shared" si="65"/>
        <v>#REF!</v>
      </c>
      <c r="I79" s="88" t="str">
        <f t="shared" si="68"/>
        <v>#REF!</v>
      </c>
      <c r="J79" s="88" t="str">
        <f t="shared" ref="J79:M79" si="69">'Week 3 Master Sheet'!J79</f>
        <v>#REF!</v>
      </c>
      <c r="K79" s="88" t="str">
        <f t="shared" si="69"/>
        <v>#REF!</v>
      </c>
      <c r="L79" s="308" t="str">
        <f t="shared" si="69"/>
        <v>#REF!</v>
      </c>
      <c r="M79" s="202" t="str">
        <f t="shared" si="69"/>
        <v>#REF!</v>
      </c>
    </row>
    <row r="80">
      <c r="A80" s="309" t="str">
        <f t="shared" si="64"/>
        <v>#REF!</v>
      </c>
      <c r="B80" s="315" t="str">
        <f t="shared" ref="B80:E80" si="70">'Week 3 Master Sheet'!B80</f>
        <v>#REF!</v>
      </c>
      <c r="C80" s="311" t="str">
        <f t="shared" si="70"/>
        <v>#REF!</v>
      </c>
      <c r="D80" s="312" t="str">
        <f t="shared" si="70"/>
        <v>#REF!</v>
      </c>
      <c r="E80" s="313" t="str">
        <f t="shared" si="70"/>
        <v>#REF!</v>
      </c>
      <c r="F80" s="76"/>
      <c r="H80" s="309" t="str">
        <f t="shared" si="65"/>
        <v>#REF!</v>
      </c>
      <c r="I80" s="315" t="str">
        <f t="shared" si="68"/>
        <v>#REF!</v>
      </c>
      <c r="J80" s="310" t="str">
        <f t="shared" ref="J80:L80" si="71">'Week 3 Master Sheet'!J80</f>
        <v>#REF!</v>
      </c>
      <c r="K80" s="312" t="str">
        <f t="shared" si="71"/>
        <v>#REF!</v>
      </c>
      <c r="L80" s="313" t="str">
        <f t="shared" si="71"/>
        <v>#REF!</v>
      </c>
      <c r="M80" s="76">
        <v>25.0</v>
      </c>
    </row>
    <row r="81">
      <c r="A81" s="309" t="str">
        <f t="shared" si="64"/>
        <v>#REF!</v>
      </c>
      <c r="B81" s="315" t="str">
        <f t="shared" ref="B81:E81" si="72">'Week 3 Master Sheet'!B81</f>
        <v>#REF!</v>
      </c>
      <c r="C81" s="311" t="str">
        <f t="shared" si="72"/>
        <v>#REF!</v>
      </c>
      <c r="D81" s="312" t="str">
        <f t="shared" si="72"/>
        <v>#REF!</v>
      </c>
      <c r="E81" s="313" t="str">
        <f t="shared" si="72"/>
        <v>#REF!</v>
      </c>
      <c r="F81" s="76"/>
      <c r="H81" s="309" t="str">
        <f t="shared" si="65"/>
        <v>#REF!</v>
      </c>
      <c r="I81" s="315" t="str">
        <f t="shared" si="68"/>
        <v>#REF!</v>
      </c>
      <c r="J81" s="158" t="str">
        <f t="shared" ref="J81:L81" si="73">'Week 3 Master Sheet'!J81</f>
        <v>#REF!</v>
      </c>
      <c r="K81" s="312" t="str">
        <f t="shared" si="73"/>
        <v>#REF!</v>
      </c>
      <c r="L81" s="313" t="str">
        <f t="shared" si="73"/>
        <v>#REF!</v>
      </c>
      <c r="M81" s="76">
        <v>25.0</v>
      </c>
    </row>
    <row r="82">
      <c r="A82" s="309" t="str">
        <f t="shared" si="64"/>
        <v>#REF!</v>
      </c>
      <c r="B82" s="315" t="str">
        <f t="shared" ref="B82:E82" si="74">'Week 3 Master Sheet'!B82</f>
        <v>#REF!</v>
      </c>
      <c r="C82" s="311" t="str">
        <f t="shared" si="74"/>
        <v>#REF!</v>
      </c>
      <c r="D82" s="312" t="str">
        <f t="shared" si="74"/>
        <v>#REF!</v>
      </c>
      <c r="E82" s="313" t="str">
        <f t="shared" si="74"/>
        <v>#REF!</v>
      </c>
      <c r="F82" s="76"/>
      <c r="H82" s="309" t="str">
        <f t="shared" si="65"/>
        <v>#REF!</v>
      </c>
      <c r="I82" s="315" t="str">
        <f t="shared" si="68"/>
        <v>#REF!</v>
      </c>
      <c r="J82" s="158" t="str">
        <f t="shared" ref="J82:L82" si="75">'Week 3 Master Sheet'!J82</f>
        <v>#REF!</v>
      </c>
      <c r="K82" s="312" t="str">
        <f t="shared" si="75"/>
        <v>#REF!</v>
      </c>
      <c r="L82" s="313" t="str">
        <f t="shared" si="75"/>
        <v>#REF!</v>
      </c>
      <c r="M82" s="76">
        <v>25.0</v>
      </c>
    </row>
    <row r="83">
      <c r="A83" s="309" t="str">
        <f t="shared" si="64"/>
        <v>#REF!</v>
      </c>
      <c r="B83" s="315" t="str">
        <f t="shared" ref="B83:E83" si="76">'Week 3 Master Sheet'!B83</f>
        <v>#REF!</v>
      </c>
      <c r="C83" s="311" t="str">
        <f t="shared" si="76"/>
        <v>#REF!</v>
      </c>
      <c r="D83" s="312" t="str">
        <f t="shared" si="76"/>
        <v>#REF!</v>
      </c>
      <c r="E83" s="313" t="str">
        <f t="shared" si="76"/>
        <v>#REF!</v>
      </c>
      <c r="F83" s="76"/>
      <c r="H83" s="309" t="str">
        <f t="shared" si="65"/>
        <v>#REF!</v>
      </c>
      <c r="I83" s="315" t="str">
        <f t="shared" si="68"/>
        <v>#REF!</v>
      </c>
      <c r="J83" s="158" t="str">
        <f t="shared" ref="J83:L83" si="77">'Week 3 Master Sheet'!J83</f>
        <v>#REF!</v>
      </c>
      <c r="K83" s="312" t="str">
        <f t="shared" si="77"/>
        <v>#REF!</v>
      </c>
      <c r="L83" s="313" t="str">
        <f t="shared" si="77"/>
        <v>#REF!</v>
      </c>
      <c r="M83" s="76">
        <v>25.0</v>
      </c>
    </row>
    <row r="84">
      <c r="A84" s="309" t="str">
        <f t="shared" si="64"/>
        <v>#REF!</v>
      </c>
      <c r="B84" s="317" t="str">
        <f t="shared" ref="B84:E84" si="78">'Week 3 Master Sheet'!B84</f>
        <v>#REF!</v>
      </c>
      <c r="C84" s="311" t="str">
        <f t="shared" si="78"/>
        <v>#REF!</v>
      </c>
      <c r="D84" s="312" t="str">
        <f t="shared" si="78"/>
        <v>#REF!</v>
      </c>
      <c r="E84" s="318" t="str">
        <f t="shared" si="78"/>
        <v>#REF!</v>
      </c>
      <c r="F84" s="76"/>
      <c r="H84" s="456" t="str">
        <f t="shared" si="65"/>
        <v>#REF!</v>
      </c>
      <c r="I84" s="732" t="str">
        <f t="shared" si="68"/>
        <v>#REF!</v>
      </c>
      <c r="J84" s="745" t="str">
        <f t="shared" ref="J84:L84" si="79">'Week 3 Master Sheet'!J84</f>
        <v>#REF!</v>
      </c>
      <c r="K84" s="459" t="str">
        <f t="shared" si="79"/>
        <v>#REF!</v>
      </c>
      <c r="L84" s="673" t="str">
        <f t="shared" si="79"/>
        <v>#REF!</v>
      </c>
      <c r="M84" s="76">
        <v>210.0</v>
      </c>
    </row>
    <row r="85">
      <c r="A85" s="319" t="str">
        <f t="shared" si="64"/>
        <v>#REF!</v>
      </c>
      <c r="B85" s="320" t="str">
        <f t="shared" ref="B85:E85" si="80">'Week 3 Master Sheet'!B85</f>
        <v>#REF!</v>
      </c>
      <c r="C85" s="321" t="str">
        <f t="shared" si="80"/>
        <v>#REF!</v>
      </c>
      <c r="D85" s="322" t="str">
        <f t="shared" si="80"/>
        <v>#REF!</v>
      </c>
      <c r="E85" s="323" t="str">
        <f t="shared" si="80"/>
        <v>#REF!</v>
      </c>
      <c r="F85" s="76"/>
      <c r="H85" s="387"/>
    </row>
    <row r="86">
      <c r="A86" s="324" t="str">
        <f t="shared" si="64"/>
        <v>#REF!</v>
      </c>
      <c r="B86" s="325"/>
      <c r="C86" s="27"/>
      <c r="D86" s="27"/>
      <c r="E86" s="27"/>
      <c r="F86" s="28"/>
    </row>
    <row r="87">
      <c r="A87" s="746"/>
    </row>
    <row r="89">
      <c r="A89" s="461" t="str">
        <f t="shared" ref="A89:A95" si="81">'Week 3 Master Sheet'!A89</f>
        <v>#REF!</v>
      </c>
      <c r="B89" s="44"/>
      <c r="C89" s="44"/>
      <c r="D89" s="44"/>
      <c r="E89" s="44"/>
      <c r="F89" s="45"/>
    </row>
    <row r="90">
      <c r="A90" s="193" t="str">
        <f t="shared" si="81"/>
        <v>#REF!</v>
      </c>
      <c r="B90" s="81" t="str">
        <f t="shared" ref="B90:B95" si="82">'Week 3 Master Sheet'!B90</f>
        <v>#REF!</v>
      </c>
      <c r="C90" s="4"/>
      <c r="D90" s="4"/>
      <c r="E90" s="4"/>
      <c r="F90" s="48"/>
    </row>
    <row r="91">
      <c r="A91" s="87" t="str">
        <f t="shared" si="81"/>
        <v>#REF!</v>
      </c>
      <c r="B91" s="88" t="str">
        <f t="shared" si="82"/>
        <v>#REF!</v>
      </c>
      <c r="C91" s="88" t="str">
        <f t="shared" ref="C91:F91" si="83">'Week 3 Master Sheet'!C91</f>
        <v>#REF!</v>
      </c>
      <c r="D91" s="88" t="str">
        <f t="shared" si="83"/>
        <v>#REF!</v>
      </c>
      <c r="E91" s="89" t="str">
        <f t="shared" si="83"/>
        <v>#REF!</v>
      </c>
      <c r="F91" s="202" t="str">
        <f t="shared" si="83"/>
        <v>#REF!</v>
      </c>
    </row>
    <row r="92">
      <c r="A92" s="319" t="str">
        <f t="shared" si="81"/>
        <v>#REF!</v>
      </c>
      <c r="B92" s="204" t="str">
        <f t="shared" si="82"/>
        <v>#REF!</v>
      </c>
      <c r="C92" s="656" t="str">
        <f t="shared" ref="C92:E92" si="84">'Week 3 Master Sheet'!C92</f>
        <v>#REF!</v>
      </c>
      <c r="D92" s="317" t="str">
        <f t="shared" si="84"/>
        <v>#REF!</v>
      </c>
      <c r="E92" s="420" t="str">
        <f t="shared" si="84"/>
        <v>#REF!</v>
      </c>
      <c r="F92" s="76">
        <v>10.0</v>
      </c>
    </row>
    <row r="93">
      <c r="A93" s="319" t="str">
        <f t="shared" si="81"/>
        <v>#REF!</v>
      </c>
      <c r="B93" s="204" t="str">
        <f t="shared" si="82"/>
        <v>#REF!</v>
      </c>
      <c r="C93" s="656" t="str">
        <f t="shared" ref="C93:E93" si="85">'Week 3 Master Sheet'!C93</f>
        <v>#REF!</v>
      </c>
      <c r="D93" s="317" t="str">
        <f t="shared" si="85"/>
        <v>#REF!</v>
      </c>
      <c r="E93" s="657" t="str">
        <f t="shared" si="85"/>
        <v>#REF!</v>
      </c>
      <c r="F93" s="76">
        <v>10.0</v>
      </c>
    </row>
    <row r="94">
      <c r="A94" s="319" t="str">
        <f t="shared" si="81"/>
        <v>#REF!</v>
      </c>
      <c r="B94" s="204" t="str">
        <f t="shared" si="82"/>
        <v>#REF!</v>
      </c>
      <c r="C94" s="656" t="str">
        <f t="shared" ref="C94:E94" si="86">'Week 3 Master Sheet'!C94</f>
        <v>#REF!</v>
      </c>
      <c r="D94" s="317" t="str">
        <f t="shared" si="86"/>
        <v>#REF!</v>
      </c>
      <c r="E94" s="420" t="str">
        <f t="shared" si="86"/>
        <v>#REF!</v>
      </c>
      <c r="F94" s="76">
        <v>15.0</v>
      </c>
    </row>
    <row r="95">
      <c r="A95" s="195" t="str">
        <f t="shared" si="81"/>
        <v>#REF!</v>
      </c>
      <c r="B95" s="196" t="str">
        <f t="shared" si="82"/>
        <v>#REF!</v>
      </c>
      <c r="C95" s="7"/>
      <c r="D95" s="7"/>
      <c r="E95" s="7"/>
      <c r="F95" s="197"/>
    </row>
    <row r="96">
      <c r="A96" s="749"/>
      <c r="B96" s="16"/>
      <c r="C96" s="16"/>
      <c r="D96" s="16"/>
      <c r="E96" s="16"/>
      <c r="F96" s="16"/>
    </row>
    <row r="98" ht="17.25" customHeight="1">
      <c r="A98" s="461" t="str">
        <f t="shared" ref="A98:A104" si="87">'Week 3 Master Sheet'!A98</f>
        <v>#REF!</v>
      </c>
      <c r="B98" s="44"/>
      <c r="C98" s="44"/>
      <c r="D98" s="44"/>
      <c r="E98" s="44"/>
      <c r="F98" s="45"/>
      <c r="G98" s="403" t="s">
        <v>90</v>
      </c>
      <c r="H98" s="461" t="str">
        <f t="shared" ref="H98:H104" si="88">'Week 3 Master Sheet'!H98</f>
        <v>#REF!</v>
      </c>
      <c r="I98" s="44"/>
      <c r="J98" s="44"/>
      <c r="K98" s="44"/>
      <c r="L98" s="44"/>
      <c r="M98" s="45"/>
      <c r="N98" s="387"/>
    </row>
    <row r="99" ht="17.25" customHeight="1">
      <c r="A99" s="193" t="str">
        <f t="shared" si="87"/>
        <v>#REF!</v>
      </c>
      <c r="B99" s="81" t="str">
        <f t="shared" ref="B99:B104" si="89">'Week 3 Master Sheet'!B99</f>
        <v>#REF!</v>
      </c>
      <c r="C99" s="4"/>
      <c r="D99" s="4"/>
      <c r="E99" s="4"/>
      <c r="F99" s="48"/>
      <c r="G99" s="403"/>
      <c r="H99" s="193" t="str">
        <f t="shared" si="88"/>
        <v>#REF!</v>
      </c>
      <c r="I99" s="283" t="str">
        <f t="shared" ref="I99:I104" si="91">'Week 3 Master Sheet'!I99</f>
        <v>#REF!</v>
      </c>
      <c r="J99" s="11"/>
      <c r="K99" s="11"/>
      <c r="L99" s="11"/>
      <c r="M99" s="86"/>
    </row>
    <row r="100" ht="17.25" customHeight="1">
      <c r="A100" s="87" t="str">
        <f t="shared" si="87"/>
        <v>#REF!</v>
      </c>
      <c r="B100" s="88" t="str">
        <f t="shared" si="89"/>
        <v>#REF!</v>
      </c>
      <c r="C100" s="88" t="str">
        <f t="shared" ref="C100:F100" si="90">'Week 3 Master Sheet'!C100</f>
        <v>#REF!</v>
      </c>
      <c r="D100" s="88" t="str">
        <f t="shared" si="90"/>
        <v>#REF!</v>
      </c>
      <c r="E100" s="89" t="str">
        <f t="shared" si="90"/>
        <v>#REF!</v>
      </c>
      <c r="F100" s="202" t="str">
        <f t="shared" si="90"/>
        <v>#REF!</v>
      </c>
      <c r="H100" s="87" t="str">
        <f t="shared" si="88"/>
        <v>#REF!</v>
      </c>
      <c r="I100" s="88" t="str">
        <f t="shared" si="91"/>
        <v>#REF!</v>
      </c>
      <c r="J100" s="88" t="str">
        <f t="shared" ref="J100:M100" si="92">'Week 3 Master Sheet'!J100</f>
        <v>#REF!</v>
      </c>
      <c r="K100" s="88" t="str">
        <f t="shared" si="92"/>
        <v>#REF!</v>
      </c>
      <c r="L100" s="308" t="str">
        <f t="shared" si="92"/>
        <v>#REF!</v>
      </c>
      <c r="M100" s="202" t="str">
        <f t="shared" si="92"/>
        <v>#REF!</v>
      </c>
    </row>
    <row r="101" ht="17.25" customHeight="1">
      <c r="A101" s="319" t="str">
        <f t="shared" si="87"/>
        <v>#REF!</v>
      </c>
      <c r="B101" s="204" t="str">
        <f t="shared" si="89"/>
        <v>#REF!</v>
      </c>
      <c r="C101" s="656" t="str">
        <f t="shared" ref="C101:E101" si="93">'Week 3 Master Sheet'!C101</f>
        <v>#REF!</v>
      </c>
      <c r="D101" s="317" t="str">
        <f t="shared" si="93"/>
        <v>#REF!</v>
      </c>
      <c r="E101" s="801" t="str">
        <f t="shared" si="93"/>
        <v>#REF!</v>
      </c>
      <c r="F101" s="76">
        <v>8.0</v>
      </c>
      <c r="H101" s="319" t="str">
        <f t="shared" si="88"/>
        <v>#REF!</v>
      </c>
      <c r="I101" s="204" t="str">
        <f t="shared" si="91"/>
        <v>#REF!</v>
      </c>
      <c r="J101" s="656" t="str">
        <f t="shared" ref="J101:L101" si="94">'Week 3 Master Sheet'!J101</f>
        <v>#REF!</v>
      </c>
      <c r="K101" s="317" t="str">
        <f t="shared" si="94"/>
        <v>#REF!</v>
      </c>
      <c r="L101" s="802" t="str">
        <f t="shared" si="94"/>
        <v>#REF!</v>
      </c>
      <c r="M101" s="76"/>
    </row>
    <row r="102" ht="17.25" customHeight="1">
      <c r="A102" s="319" t="str">
        <f t="shared" si="87"/>
        <v>#REF!</v>
      </c>
      <c r="B102" s="204" t="str">
        <f t="shared" si="89"/>
        <v>#REF!</v>
      </c>
      <c r="C102" s="656" t="str">
        <f t="shared" ref="C102:E102" si="95">'Week 3 Master Sheet'!C102</f>
        <v>#REF!</v>
      </c>
      <c r="D102" s="317" t="str">
        <f t="shared" si="95"/>
        <v>#REF!</v>
      </c>
      <c r="E102" s="801" t="str">
        <f t="shared" si="95"/>
        <v>#REF!</v>
      </c>
      <c r="F102" s="76">
        <v>12.0</v>
      </c>
      <c r="H102" s="319" t="str">
        <f t="shared" si="88"/>
        <v>#REF!</v>
      </c>
      <c r="I102" s="204" t="str">
        <f t="shared" si="91"/>
        <v>#REF!</v>
      </c>
      <c r="J102" s="659" t="str">
        <f t="shared" ref="J102:L102" si="96">'Week 3 Master Sheet'!J102</f>
        <v>#REF!</v>
      </c>
      <c r="K102" s="317" t="str">
        <f t="shared" si="96"/>
        <v>#REF!</v>
      </c>
      <c r="L102" s="802" t="str">
        <f t="shared" si="96"/>
        <v>#REF!</v>
      </c>
      <c r="M102" s="76"/>
    </row>
    <row r="103" ht="17.25" customHeight="1">
      <c r="A103" s="319" t="str">
        <f t="shared" si="87"/>
        <v>#REF!</v>
      </c>
      <c r="B103" s="204" t="str">
        <f t="shared" si="89"/>
        <v>#REF!</v>
      </c>
      <c r="C103" s="656" t="str">
        <f t="shared" ref="C103:E103" si="97">'Week 3 Master Sheet'!C103</f>
        <v>#REF!</v>
      </c>
      <c r="D103" s="317" t="str">
        <f t="shared" si="97"/>
        <v>#REF!</v>
      </c>
      <c r="E103" s="803" t="str">
        <f t="shared" si="97"/>
        <v>#REF!</v>
      </c>
      <c r="F103" s="76">
        <v>12.0</v>
      </c>
      <c r="H103" s="319" t="str">
        <f t="shared" si="88"/>
        <v>#REF!</v>
      </c>
      <c r="I103" s="204" t="str">
        <f t="shared" si="91"/>
        <v>#REF!</v>
      </c>
      <c r="J103" s="659" t="str">
        <f t="shared" ref="J103:L103" si="98">'Week 3 Master Sheet'!J103</f>
        <v>#REF!</v>
      </c>
      <c r="K103" s="317" t="str">
        <f t="shared" si="98"/>
        <v>#REF!</v>
      </c>
      <c r="L103" s="802" t="str">
        <f t="shared" si="98"/>
        <v>#REF!</v>
      </c>
      <c r="M103" s="76"/>
    </row>
    <row r="104" ht="17.25" customHeight="1">
      <c r="A104" s="239" t="str">
        <f t="shared" si="87"/>
        <v>#REF!</v>
      </c>
      <c r="B104" s="299" t="str">
        <f t="shared" si="89"/>
        <v>#REF!</v>
      </c>
      <c r="C104" s="24"/>
      <c r="D104" s="24"/>
      <c r="E104" s="24"/>
      <c r="F104" s="25"/>
      <c r="H104" s="239" t="str">
        <f t="shared" si="88"/>
        <v>#REF!</v>
      </c>
      <c r="I104" s="299" t="str">
        <f t="shared" si="91"/>
        <v>#REF!</v>
      </c>
      <c r="J104" s="24"/>
      <c r="K104" s="24"/>
      <c r="L104" s="24"/>
      <c r="M104" s="25"/>
    </row>
    <row r="105" ht="17.25" customHeight="1">
      <c r="A105" s="387"/>
      <c r="H105" s="387"/>
    </row>
    <row r="106" ht="17.25" customHeight="1">
      <c r="A106" s="804" t="str">
        <f>'Week 3 Master Sheet'!A106</f>
        <v>#REF!</v>
      </c>
      <c r="B106" s="27"/>
      <c r="C106" s="27"/>
      <c r="D106" s="27"/>
      <c r="E106" s="27"/>
      <c r="F106" s="28"/>
    </row>
    <row r="107" ht="17.25" customHeight="1">
      <c r="A107" s="387"/>
    </row>
    <row r="108">
      <c r="A108" s="41" t="str">
        <f>'Week 3 Master Sheet'!A108</f>
        <v>#REF!</v>
      </c>
      <c r="B108" s="27"/>
      <c r="C108" s="27"/>
      <c r="D108" s="27"/>
      <c r="E108" s="27"/>
      <c r="F108" s="28"/>
    </row>
    <row r="109">
      <c r="A109" s="632"/>
    </row>
    <row r="111">
      <c r="A111" s="42" t="str">
        <f t="shared" ref="A111:A119" si="99">'Week 3 Master Sheet'!A111</f>
        <v>#REF!</v>
      </c>
      <c r="B111" s="27"/>
      <c r="C111" s="27"/>
      <c r="D111" s="27"/>
      <c r="E111" s="27"/>
      <c r="F111" s="28"/>
      <c r="H111" s="42" t="str">
        <f t="shared" ref="H111:H119" si="100">'Week 3 Master Sheet'!H111</f>
        <v>#REF!</v>
      </c>
      <c r="I111" s="27"/>
      <c r="J111" s="27"/>
      <c r="K111" s="27"/>
      <c r="L111" s="27"/>
      <c r="M111" s="28"/>
      <c r="N111" s="387"/>
    </row>
    <row r="112">
      <c r="A112" s="478" t="str">
        <f t="shared" si="99"/>
        <v>#REF!</v>
      </c>
      <c r="B112" s="44"/>
      <c r="C112" s="44"/>
      <c r="D112" s="44"/>
      <c r="E112" s="44"/>
      <c r="F112" s="45"/>
      <c r="H112" s="805" t="str">
        <f t="shared" si="100"/>
        <v>#REF!</v>
      </c>
      <c r="I112" s="44"/>
      <c r="J112" s="44"/>
      <c r="K112" s="44"/>
      <c r="L112" s="44"/>
      <c r="M112" s="45"/>
    </row>
    <row r="113">
      <c r="A113" s="565" t="str">
        <f t="shared" si="99"/>
        <v>#REF!</v>
      </c>
      <c r="B113" s="194">
        <v>80.0</v>
      </c>
      <c r="C113" s="11"/>
      <c r="D113" s="11"/>
      <c r="E113" s="11"/>
      <c r="F113" s="86"/>
      <c r="H113" s="565" t="str">
        <f t="shared" si="100"/>
        <v>#REF!</v>
      </c>
      <c r="I113" s="194" t="str">
        <f t="shared" ref="I113:I119" si="102">'Week 3 Master Sheet'!I113</f>
        <v>#REF!</v>
      </c>
      <c r="J113" s="11"/>
      <c r="K113" s="11"/>
      <c r="L113" s="11"/>
      <c r="M113" s="86"/>
    </row>
    <row r="114">
      <c r="A114" s="331" t="str">
        <f t="shared" si="99"/>
        <v>#REF!</v>
      </c>
      <c r="B114" s="332" t="str">
        <f t="shared" ref="B114:F114" si="101">'Week 3 Master Sheet'!B114</f>
        <v>#REF!</v>
      </c>
      <c r="C114" s="332" t="str">
        <f t="shared" si="101"/>
        <v>#REF!</v>
      </c>
      <c r="D114" s="332" t="str">
        <f t="shared" si="101"/>
        <v>#REF!</v>
      </c>
      <c r="E114" s="584" t="str">
        <f t="shared" si="101"/>
        <v>#REF!</v>
      </c>
      <c r="F114" s="202" t="str">
        <f t="shared" si="101"/>
        <v>#REF!</v>
      </c>
      <c r="H114" s="331" t="str">
        <f t="shared" si="100"/>
        <v>#REF!</v>
      </c>
      <c r="I114" s="332" t="str">
        <f t="shared" si="102"/>
        <v>#REF!</v>
      </c>
      <c r="J114" s="332" t="str">
        <f t="shared" ref="J114:M114" si="103">'Week 3 Master Sheet'!J114</f>
        <v>#REF!</v>
      </c>
      <c r="K114" s="332" t="str">
        <f t="shared" si="103"/>
        <v>#REF!</v>
      </c>
      <c r="L114" s="584" t="str">
        <f t="shared" si="103"/>
        <v>#REF!</v>
      </c>
      <c r="M114" s="202" t="str">
        <f t="shared" si="103"/>
        <v>#REF!</v>
      </c>
    </row>
    <row r="115">
      <c r="A115" s="203" t="str">
        <f t="shared" si="99"/>
        <v>#REF!</v>
      </c>
      <c r="B115" s="204" t="str">
        <f t="shared" ref="B115:E115" si="104">'Week 3 Master Sheet'!B115</f>
        <v>#REF!</v>
      </c>
      <c r="C115" s="204" t="str">
        <f t="shared" si="104"/>
        <v>#REF!</v>
      </c>
      <c r="D115" s="205" t="str">
        <f t="shared" si="104"/>
        <v>#REF!</v>
      </c>
      <c r="E115" s="57" t="str">
        <f t="shared" si="104"/>
        <v>#REF!</v>
      </c>
      <c r="F115" s="58">
        <v>6.0</v>
      </c>
      <c r="H115" s="203" t="str">
        <f t="shared" si="100"/>
        <v>#REF!</v>
      </c>
      <c r="I115" s="204" t="str">
        <f t="shared" si="102"/>
        <v>#REF!</v>
      </c>
      <c r="J115" s="204" t="str">
        <f t="shared" ref="J115:L115" si="105">'Week 3 Master Sheet'!J115</f>
        <v>#REF!</v>
      </c>
      <c r="K115" s="205" t="str">
        <f t="shared" si="105"/>
        <v>#REF!</v>
      </c>
      <c r="L115" s="57" t="str">
        <f t="shared" si="105"/>
        <v>#REF!</v>
      </c>
      <c r="M115" s="58">
        <v>6.0</v>
      </c>
    </row>
    <row r="116">
      <c r="A116" s="203" t="str">
        <f t="shared" si="99"/>
        <v>#REF!</v>
      </c>
      <c r="B116" s="204" t="str">
        <f t="shared" ref="B116:E116" si="106">'Week 3 Master Sheet'!B116</f>
        <v>#REF!</v>
      </c>
      <c r="C116" s="204" t="str">
        <f t="shared" si="106"/>
        <v>#REF!</v>
      </c>
      <c r="D116" s="205" t="str">
        <f t="shared" si="106"/>
        <v>#REF!</v>
      </c>
      <c r="E116" s="57" t="str">
        <f t="shared" si="106"/>
        <v>#REF!</v>
      </c>
      <c r="F116" s="58">
        <v>1.0</v>
      </c>
      <c r="H116" s="203" t="str">
        <f t="shared" si="100"/>
        <v>#REF!</v>
      </c>
      <c r="I116" s="204" t="str">
        <f t="shared" si="102"/>
        <v>#REF!</v>
      </c>
      <c r="J116" s="204" t="str">
        <f t="shared" ref="J116:L116" si="107">'Week 3 Master Sheet'!J116</f>
        <v>#REF!</v>
      </c>
      <c r="K116" s="205" t="str">
        <f t="shared" si="107"/>
        <v>#REF!</v>
      </c>
      <c r="L116" s="57" t="str">
        <f t="shared" si="107"/>
        <v>#REF!</v>
      </c>
      <c r="M116" s="58">
        <v>1.0</v>
      </c>
    </row>
    <row r="117">
      <c r="A117" s="209" t="str">
        <f t="shared" si="99"/>
        <v>#REF!</v>
      </c>
      <c r="B117" s="204" t="str">
        <f t="shared" ref="B117:E117" si="108">'Week 3 Master Sheet'!B117</f>
        <v>#REF!</v>
      </c>
      <c r="C117" s="806" t="str">
        <f t="shared" si="108"/>
        <v>#REF!</v>
      </c>
      <c r="D117" s="56" t="str">
        <f t="shared" si="108"/>
        <v>#REF!</v>
      </c>
      <c r="E117" s="57" t="str">
        <f t="shared" si="108"/>
        <v>#REF!</v>
      </c>
      <c r="F117" s="58">
        <v>10.0</v>
      </c>
      <c r="H117" s="209" t="str">
        <f t="shared" si="100"/>
        <v>#REF!</v>
      </c>
      <c r="I117" s="204" t="str">
        <f t="shared" si="102"/>
        <v>#REF!</v>
      </c>
      <c r="J117" s="806" t="str">
        <f t="shared" ref="J117:L117" si="109">'Week 3 Master Sheet'!J117</f>
        <v>#REF!</v>
      </c>
      <c r="K117" s="56" t="str">
        <f t="shared" si="109"/>
        <v>#REF!</v>
      </c>
      <c r="L117" s="57" t="str">
        <f t="shared" si="109"/>
        <v>#REF!</v>
      </c>
      <c r="M117" s="58">
        <v>30.0</v>
      </c>
    </row>
    <row r="118">
      <c r="A118" s="209" t="str">
        <f t="shared" si="99"/>
        <v>#REF!</v>
      </c>
      <c r="B118" s="204" t="str">
        <f t="shared" ref="B118:E118" si="110">'Week 3 Master Sheet'!B118</f>
        <v>#REF!</v>
      </c>
      <c r="C118" s="806" t="str">
        <f t="shared" si="110"/>
        <v>#REF!</v>
      </c>
      <c r="D118" s="56" t="str">
        <f t="shared" si="110"/>
        <v>#REF!</v>
      </c>
      <c r="E118" s="57" t="str">
        <f t="shared" si="110"/>
        <v>#REF!</v>
      </c>
      <c r="F118" s="642">
        <v>12.0</v>
      </c>
      <c r="H118" s="209" t="str">
        <f t="shared" si="100"/>
        <v>#REF!</v>
      </c>
      <c r="I118" s="204" t="str">
        <f t="shared" si="102"/>
        <v>#REF!</v>
      </c>
      <c r="J118" s="806" t="str">
        <f t="shared" ref="J118:L118" si="111">'Week 3 Master Sheet'!J118</f>
        <v>#REF!</v>
      </c>
      <c r="K118" s="56" t="str">
        <f t="shared" si="111"/>
        <v>#REF!</v>
      </c>
      <c r="L118" s="57" t="str">
        <f t="shared" si="111"/>
        <v>#REF!</v>
      </c>
      <c r="M118" s="642"/>
    </row>
    <row r="119">
      <c r="A119" s="807" t="str">
        <f t="shared" si="99"/>
        <v>#REF!</v>
      </c>
      <c r="B119" s="338" t="str">
        <f t="shared" ref="B119:E119" si="112">'Week 3 Master Sheet'!B119</f>
        <v>#REF!</v>
      </c>
      <c r="C119" s="808" t="str">
        <f t="shared" si="112"/>
        <v>#REF!</v>
      </c>
      <c r="D119" s="62" t="str">
        <f t="shared" si="112"/>
        <v>#REF!</v>
      </c>
      <c r="E119" s="63" t="str">
        <f t="shared" si="112"/>
        <v>#REF!</v>
      </c>
      <c r="F119" s="58">
        <v>16.0</v>
      </c>
      <c r="H119" s="807" t="str">
        <f t="shared" si="100"/>
        <v>#REF!</v>
      </c>
      <c r="I119" s="338" t="str">
        <f t="shared" si="102"/>
        <v>#REF!</v>
      </c>
      <c r="J119" s="808" t="str">
        <f t="shared" ref="J119:L119" si="113">'Week 3 Master Sheet'!J119</f>
        <v>#REF!</v>
      </c>
      <c r="K119" s="62" t="str">
        <f t="shared" si="113"/>
        <v>#REF!</v>
      </c>
      <c r="L119" s="63" t="str">
        <f t="shared" si="113"/>
        <v>#REF!</v>
      </c>
      <c r="M119" s="58"/>
    </row>
    <row r="120">
      <c r="A120" s="769"/>
      <c r="H120" s="387"/>
    </row>
    <row r="122">
      <c r="A122" s="809" t="str">
        <f t="shared" ref="A122:A127" si="114">'Week 3 Master Sheet'!A122</f>
        <v>#REF!</v>
      </c>
      <c r="B122" s="44"/>
      <c r="C122" s="44"/>
      <c r="D122" s="44"/>
      <c r="E122" s="44"/>
      <c r="F122" s="45"/>
    </row>
    <row r="123">
      <c r="A123" s="193" t="str">
        <f t="shared" si="114"/>
        <v>#REF!</v>
      </c>
      <c r="B123" s="669" t="str">
        <f t="shared" ref="B123:B127" si="115">'Week 3 Master Sheet'!B123</f>
        <v>#REF!</v>
      </c>
      <c r="C123" s="4"/>
      <c r="D123" s="4"/>
      <c r="E123" s="4"/>
      <c r="F123" s="48"/>
    </row>
    <row r="124">
      <c r="A124" s="87" t="str">
        <f t="shared" si="114"/>
        <v>#REF!</v>
      </c>
      <c r="B124" s="88" t="str">
        <f t="shared" si="115"/>
        <v>#REF!</v>
      </c>
      <c r="C124" s="88" t="str">
        <f t="shared" ref="C124:F124" si="116">'Week 3 Master Sheet'!C124</f>
        <v>#REF!</v>
      </c>
      <c r="D124" s="88" t="str">
        <f t="shared" si="116"/>
        <v>#REF!</v>
      </c>
      <c r="E124" s="308" t="str">
        <f t="shared" si="116"/>
        <v>#REF!</v>
      </c>
      <c r="F124" s="202" t="str">
        <f t="shared" si="116"/>
        <v>#REF!</v>
      </c>
    </row>
    <row r="125">
      <c r="A125" s="532" t="str">
        <f t="shared" si="114"/>
        <v>#REF!</v>
      </c>
      <c r="B125" s="204" t="str">
        <f t="shared" si="115"/>
        <v>#REF!</v>
      </c>
      <c r="C125" s="810" t="str">
        <f t="shared" ref="C125:E125" si="117">'Week 3 Master Sheet'!C125</f>
        <v>#REF!</v>
      </c>
      <c r="D125" s="671" t="str">
        <f t="shared" si="117"/>
        <v>#REF!</v>
      </c>
      <c r="E125" s="313" t="str">
        <f t="shared" si="117"/>
        <v>#REF!</v>
      </c>
      <c r="F125" s="76">
        <v>15.0</v>
      </c>
    </row>
    <row r="126">
      <c r="A126" s="532" t="str">
        <f t="shared" si="114"/>
        <v>#REF!</v>
      </c>
      <c r="B126" s="204" t="str">
        <f t="shared" si="115"/>
        <v>#REF!</v>
      </c>
      <c r="C126" s="810" t="str">
        <f t="shared" ref="C126:E126" si="118">'Week 3 Master Sheet'!C126</f>
        <v>#REF!</v>
      </c>
      <c r="D126" s="671" t="str">
        <f t="shared" si="118"/>
        <v>#REF!</v>
      </c>
      <c r="E126" s="313" t="str">
        <f t="shared" si="118"/>
        <v>#REF!</v>
      </c>
      <c r="F126" s="76">
        <v>15.0</v>
      </c>
    </row>
    <row r="127">
      <c r="A127" s="537" t="str">
        <f t="shared" si="114"/>
        <v>#REF!</v>
      </c>
      <c r="B127" s="338" t="str">
        <f t="shared" si="115"/>
        <v>#REF!</v>
      </c>
      <c r="C127" s="811" t="str">
        <f t="shared" ref="C127:E127" si="119">'Week 3 Master Sheet'!C127</f>
        <v>#REF!</v>
      </c>
      <c r="D127" s="772" t="str">
        <f t="shared" si="119"/>
        <v>#REF!</v>
      </c>
      <c r="E127" s="673" t="str">
        <f t="shared" si="119"/>
        <v>#REF!</v>
      </c>
      <c r="F127" s="76">
        <v>15.0</v>
      </c>
    </row>
    <row r="128">
      <c r="A128" s="773"/>
    </row>
    <row r="130">
      <c r="A130" s="489" t="str">
        <f t="shared" ref="A130:A135" si="120">'Week 3 Master Sheet'!A130</f>
        <v>#REF!</v>
      </c>
      <c r="B130" s="44"/>
      <c r="C130" s="44"/>
      <c r="D130" s="44"/>
      <c r="E130" s="44"/>
      <c r="F130" s="45"/>
    </row>
    <row r="131">
      <c r="A131" s="193" t="str">
        <f t="shared" si="120"/>
        <v>#REF!</v>
      </c>
      <c r="B131" s="81">
        <v>80.0</v>
      </c>
      <c r="C131" s="4"/>
      <c r="D131" s="4"/>
      <c r="E131" s="4"/>
      <c r="F131" s="48"/>
    </row>
    <row r="132">
      <c r="A132" s="343" t="str">
        <f t="shared" si="120"/>
        <v>#REF!</v>
      </c>
      <c r="B132" s="70" t="str">
        <f t="shared" ref="B132:F132" si="121">'Week 3 Master Sheet'!B132</f>
        <v>#REF!</v>
      </c>
      <c r="C132" s="70" t="str">
        <f t="shared" si="121"/>
        <v>#REF!</v>
      </c>
      <c r="D132" s="70" t="str">
        <f t="shared" si="121"/>
        <v>#REF!</v>
      </c>
      <c r="E132" s="89" t="str">
        <f t="shared" si="121"/>
        <v>#REF!</v>
      </c>
      <c r="F132" s="202" t="str">
        <f t="shared" si="121"/>
        <v>#REF!</v>
      </c>
    </row>
    <row r="133">
      <c r="A133" s="72" t="str">
        <f t="shared" si="120"/>
        <v>#REF!</v>
      </c>
      <c r="B133" s="73" t="str">
        <f t="shared" ref="B133:E133" si="122">'Week 3 Master Sheet'!B133</f>
        <v>#REF!</v>
      </c>
      <c r="C133" s="56" t="str">
        <f t="shared" si="122"/>
        <v>#REF!</v>
      </c>
      <c r="D133" s="74" t="str">
        <f t="shared" si="122"/>
        <v>#REF!</v>
      </c>
      <c r="E133" s="345" t="str">
        <f t="shared" si="122"/>
        <v>#REF!</v>
      </c>
      <c r="F133" s="76">
        <v>15.0</v>
      </c>
    </row>
    <row r="134">
      <c r="A134" s="72" t="str">
        <f t="shared" si="120"/>
        <v>#REF!</v>
      </c>
      <c r="B134" s="73" t="str">
        <f t="shared" ref="B134:E134" si="123">'Week 3 Master Sheet'!B134</f>
        <v>#REF!</v>
      </c>
      <c r="C134" s="56" t="str">
        <f t="shared" si="123"/>
        <v>#REF!</v>
      </c>
      <c r="D134" s="74" t="str">
        <f t="shared" si="123"/>
        <v>#REF!</v>
      </c>
      <c r="E134" s="345" t="str">
        <f t="shared" si="123"/>
        <v>#REF!</v>
      </c>
      <c r="F134" s="76">
        <v>15.0</v>
      </c>
    </row>
    <row r="135">
      <c r="A135" s="77" t="str">
        <f t="shared" si="120"/>
        <v>#REF!</v>
      </c>
      <c r="B135" s="78" t="str">
        <f t="shared" ref="B135:E135" si="124">'Week 3 Master Sheet'!B135</f>
        <v>#REF!</v>
      </c>
      <c r="C135" s="62" t="str">
        <f t="shared" si="124"/>
        <v>#REF!</v>
      </c>
      <c r="D135" s="79" t="str">
        <f t="shared" si="124"/>
        <v>#REF!</v>
      </c>
      <c r="E135" s="346" t="str">
        <f t="shared" si="124"/>
        <v>#REF!</v>
      </c>
      <c r="F135" s="76">
        <v>15.0</v>
      </c>
    </row>
    <row r="136">
      <c r="A136" s="773"/>
    </row>
    <row r="138">
      <c r="A138" s="328" t="str">
        <f t="shared" ref="A138:A143" si="125">'Week 3 Master Sheet'!A138</f>
        <v>#REF!</v>
      </c>
      <c r="B138" s="44"/>
      <c r="C138" s="44"/>
      <c r="D138" s="44"/>
      <c r="E138" s="44"/>
      <c r="F138" s="45"/>
    </row>
    <row r="139">
      <c r="A139" s="193" t="str">
        <f t="shared" si="125"/>
        <v>#REF!</v>
      </c>
      <c r="B139" s="81">
        <v>80.0</v>
      </c>
      <c r="C139" s="4"/>
      <c r="D139" s="4"/>
      <c r="E139" s="4"/>
      <c r="F139" s="48"/>
    </row>
    <row r="140">
      <c r="A140" s="68" t="str">
        <f t="shared" si="125"/>
        <v>#REF!</v>
      </c>
      <c r="B140" s="69" t="str">
        <f t="shared" ref="B140:F140" si="126">'Week 3 Master Sheet'!B140</f>
        <v>#REF!</v>
      </c>
      <c r="C140" s="69" t="str">
        <f t="shared" si="126"/>
        <v>#REF!</v>
      </c>
      <c r="D140" s="69" t="str">
        <f t="shared" si="126"/>
        <v>#REF!</v>
      </c>
      <c r="E140" s="71" t="str">
        <f t="shared" si="126"/>
        <v>#REF!</v>
      </c>
      <c r="F140" s="202" t="str">
        <f t="shared" si="126"/>
        <v>#REF!</v>
      </c>
    </row>
    <row r="141">
      <c r="A141" s="72" t="str">
        <f t="shared" si="125"/>
        <v>#REF!</v>
      </c>
      <c r="B141" s="73" t="str">
        <f t="shared" ref="B141:E141" si="127">'Week 3 Master Sheet'!B141</f>
        <v>#REF!</v>
      </c>
      <c r="C141" s="56" t="str">
        <f t="shared" si="127"/>
        <v>#REF!</v>
      </c>
      <c r="D141" s="74" t="str">
        <f t="shared" si="127"/>
        <v>#REF!</v>
      </c>
      <c r="E141" s="75" t="str">
        <f t="shared" si="127"/>
        <v>#REF!</v>
      </c>
      <c r="F141" s="76">
        <v>12.0</v>
      </c>
    </row>
    <row r="142">
      <c r="A142" s="72" t="str">
        <f t="shared" si="125"/>
        <v>#REF!</v>
      </c>
      <c r="B142" s="73" t="str">
        <f t="shared" ref="B142:E142" si="128">'Week 3 Master Sheet'!B142</f>
        <v>#REF!</v>
      </c>
      <c r="C142" s="56" t="str">
        <f t="shared" si="128"/>
        <v>#REF!</v>
      </c>
      <c r="D142" s="74" t="str">
        <f t="shared" si="128"/>
        <v>#REF!</v>
      </c>
      <c r="E142" s="75" t="str">
        <f t="shared" si="128"/>
        <v>#REF!</v>
      </c>
      <c r="F142" s="76">
        <v>10.0</v>
      </c>
    </row>
    <row r="143">
      <c r="A143" s="604" t="str">
        <f t="shared" si="125"/>
        <v>#REF!</v>
      </c>
      <c r="B143" s="605" t="str">
        <f t="shared" ref="B143:E143" si="129">'Week 3 Master Sheet'!B143</f>
        <v>#REF!</v>
      </c>
      <c r="C143" s="606" t="str">
        <f t="shared" si="129"/>
        <v>#REF!</v>
      </c>
      <c r="D143" s="295" t="str">
        <f t="shared" si="129"/>
        <v>#REF!</v>
      </c>
      <c r="E143" s="607" t="str">
        <f t="shared" si="129"/>
        <v>#REF!</v>
      </c>
      <c r="F143" s="297"/>
    </row>
    <row r="144">
      <c r="A144" s="775"/>
      <c r="B144" s="776"/>
      <c r="C144" s="776"/>
      <c r="D144" s="777"/>
      <c r="E144" s="778"/>
      <c r="F144" s="777"/>
    </row>
    <row r="146">
      <c r="A146" s="809" t="str">
        <f t="shared" ref="A146:A151" si="130">'Week 3 Master Sheet'!A146</f>
        <v>#REF!</v>
      </c>
      <c r="B146" s="44"/>
      <c r="C146" s="44"/>
      <c r="D146" s="44"/>
      <c r="E146" s="44"/>
      <c r="F146" s="45"/>
    </row>
    <row r="147">
      <c r="A147" s="193" t="str">
        <f t="shared" si="130"/>
        <v>#REF!</v>
      </c>
      <c r="B147" s="669" t="str">
        <f t="shared" ref="B147:B151" si="131">'Week 3 Master Sheet'!B147</f>
        <v>#REF!</v>
      </c>
      <c r="C147" s="4"/>
      <c r="D147" s="4"/>
      <c r="E147" s="4"/>
      <c r="F147" s="48"/>
    </row>
    <row r="148">
      <c r="A148" s="87" t="str">
        <f t="shared" si="130"/>
        <v>#REF!</v>
      </c>
      <c r="B148" s="88" t="str">
        <f t="shared" si="131"/>
        <v>#REF!</v>
      </c>
      <c r="C148" s="88" t="str">
        <f t="shared" ref="C148:F148" si="132">'Week 3 Master Sheet'!C148</f>
        <v>#REF!</v>
      </c>
      <c r="D148" s="88" t="str">
        <f t="shared" si="132"/>
        <v>#REF!</v>
      </c>
      <c r="E148" s="308" t="str">
        <f t="shared" si="132"/>
        <v>#REF!</v>
      </c>
      <c r="F148" s="202" t="str">
        <f t="shared" si="132"/>
        <v>#REF!</v>
      </c>
    </row>
    <row r="149">
      <c r="A149" s="703" t="str">
        <f t="shared" si="130"/>
        <v>#REF!</v>
      </c>
      <c r="B149" s="311" t="str">
        <f t="shared" si="131"/>
        <v>#REF!</v>
      </c>
      <c r="C149" s="311" t="str">
        <f t="shared" ref="C149:E149" si="133">'Week 3 Master Sheet'!C149</f>
        <v>#REF!</v>
      </c>
      <c r="D149" s="671" t="str">
        <f t="shared" si="133"/>
        <v>#REF!</v>
      </c>
      <c r="E149" s="313" t="str">
        <f t="shared" si="133"/>
        <v>#REF!</v>
      </c>
      <c r="F149" s="76">
        <v>20.0</v>
      </c>
    </row>
    <row r="150">
      <c r="A150" s="703" t="str">
        <f t="shared" si="130"/>
        <v>#REF!</v>
      </c>
      <c r="B150" s="311" t="str">
        <f t="shared" si="131"/>
        <v>#REF!</v>
      </c>
      <c r="C150" s="812" t="str">
        <f t="shared" ref="C150:E150" si="134">'Week 3 Master Sheet'!C150</f>
        <v>#REF!</v>
      </c>
      <c r="D150" s="671" t="str">
        <f t="shared" si="134"/>
        <v>#REF!</v>
      </c>
      <c r="E150" s="313" t="str">
        <f t="shared" si="134"/>
        <v>#REF!</v>
      </c>
      <c r="F150" s="76">
        <v>20.0</v>
      </c>
    </row>
    <row r="151">
      <c r="A151" s="731" t="str">
        <f t="shared" si="130"/>
        <v>#REF!</v>
      </c>
      <c r="B151" s="732" t="str">
        <f t="shared" si="131"/>
        <v>#REF!</v>
      </c>
      <c r="C151" s="813" t="str">
        <f t="shared" ref="C151:E151" si="135">'Week 3 Master Sheet'!C151</f>
        <v>#REF!</v>
      </c>
      <c r="D151" s="772" t="str">
        <f t="shared" si="135"/>
        <v>#REF!</v>
      </c>
      <c r="E151" s="673" t="str">
        <f t="shared" si="135"/>
        <v>#REF!</v>
      </c>
      <c r="F151" s="76">
        <v>20.0</v>
      </c>
    </row>
    <row r="152">
      <c r="A152" s="784"/>
    </row>
    <row r="154">
      <c r="A154" s="804" t="str">
        <f>'Week 3 Master Sheet'!A154</f>
        <v>#REF!</v>
      </c>
      <c r="B154" s="27"/>
      <c r="C154" s="27"/>
      <c r="D154" s="27"/>
      <c r="E154" s="27"/>
      <c r="F154" s="28"/>
    </row>
    <row r="155">
      <c r="A155" s="814"/>
      <c r="B155" s="16"/>
      <c r="C155" s="16"/>
      <c r="D155" s="16"/>
      <c r="E155" s="16"/>
      <c r="F155" s="16"/>
    </row>
    <row r="156">
      <c r="A156" s="97" t="str">
        <f>'Week 3 Master Sheet'!A156</f>
        <v>#REF!</v>
      </c>
      <c r="B156" s="27"/>
      <c r="C156" s="27"/>
      <c r="D156" s="27"/>
      <c r="E156" s="27"/>
      <c r="F156" s="28"/>
    </row>
    <row r="157">
      <c r="A157" s="94"/>
    </row>
    <row r="158">
      <c r="A158" s="815" t="str">
        <f>'Week 3 Master Sheet'!A158</f>
        <v>#REF!</v>
      </c>
      <c r="B158" s="7"/>
      <c r="C158" s="7"/>
      <c r="D158" s="7"/>
      <c r="E158" s="7"/>
      <c r="F158" s="8"/>
    </row>
    <row r="159">
      <c r="A159" s="9"/>
      <c r="B159" s="4"/>
      <c r="C159" s="4"/>
      <c r="D159" s="4"/>
      <c r="E159" s="4"/>
      <c r="F159" s="5"/>
    </row>
    <row r="160">
      <c r="A160" s="387"/>
      <c r="B160" s="816"/>
      <c r="C160" s="817" t="str">
        <f>'Week 3 Master Sheet'!C160</f>
        <v>#REF!</v>
      </c>
      <c r="D160" s="16"/>
      <c r="E160" s="16"/>
      <c r="F160" s="17"/>
    </row>
    <row r="161">
      <c r="A161" s="387"/>
      <c r="B161" s="816"/>
      <c r="F161" s="19"/>
    </row>
    <row r="162">
      <c r="A162" s="387"/>
      <c r="B162" s="816"/>
      <c r="F162" s="19"/>
    </row>
    <row r="163">
      <c r="A163" s="387"/>
      <c r="B163" s="816"/>
      <c r="F163" s="19"/>
    </row>
    <row r="164">
      <c r="A164" s="387"/>
      <c r="B164" s="816"/>
      <c r="F164" s="19"/>
    </row>
    <row r="165">
      <c r="A165" s="387"/>
      <c r="B165" s="816"/>
      <c r="F165" s="19"/>
    </row>
    <row r="166">
      <c r="A166" s="786"/>
      <c r="B166" s="816"/>
      <c r="F166" s="19"/>
    </row>
    <row r="167">
      <c r="A167" s="387"/>
      <c r="B167" s="816"/>
      <c r="F167" s="19"/>
    </row>
    <row r="168">
      <c r="A168" s="387"/>
      <c r="B168" s="816"/>
      <c r="F168" s="19"/>
    </row>
    <row r="169">
      <c r="A169" s="787"/>
      <c r="B169" s="816"/>
      <c r="F169" s="19"/>
    </row>
    <row r="170">
      <c r="A170" s="387"/>
      <c r="B170" s="816"/>
      <c r="F170" s="19"/>
    </row>
    <row r="171">
      <c r="A171" s="387"/>
      <c r="B171" s="816"/>
      <c r="F171" s="19"/>
    </row>
    <row r="172">
      <c r="A172" s="387"/>
      <c r="B172" s="816"/>
      <c r="F172" s="19"/>
    </row>
    <row r="173">
      <c r="A173" s="387"/>
      <c r="B173" s="816"/>
      <c r="F173" s="19"/>
    </row>
    <row r="174">
      <c r="A174" s="387"/>
      <c r="B174" s="816"/>
      <c r="C174" s="2"/>
      <c r="D174" s="2"/>
      <c r="E174" s="2"/>
      <c r="F174" s="37"/>
    </row>
    <row r="175">
      <c r="A175" s="387"/>
    </row>
  </sheetData>
  <mergeCells count="111">
    <mergeCell ref="A10:F11"/>
    <mergeCell ref="A12:F12"/>
    <mergeCell ref="H12:M14"/>
    <mergeCell ref="A13:F13"/>
    <mergeCell ref="A14:F14"/>
    <mergeCell ref="A15:F15"/>
    <mergeCell ref="H15:M15"/>
    <mergeCell ref="A16:F17"/>
    <mergeCell ref="H16:M17"/>
    <mergeCell ref="A18:F18"/>
    <mergeCell ref="H18:M18"/>
    <mergeCell ref="A19:F19"/>
    <mergeCell ref="H19:M19"/>
    <mergeCell ref="G9:G18"/>
    <mergeCell ref="G20:G31"/>
    <mergeCell ref="N1:T18"/>
    <mergeCell ref="O19:T19"/>
    <mergeCell ref="I20:M20"/>
    <mergeCell ref="P20:T20"/>
    <mergeCell ref="A25:F25"/>
    <mergeCell ref="H25:M25"/>
    <mergeCell ref="B20:F20"/>
    <mergeCell ref="A30:F31"/>
    <mergeCell ref="H30:T31"/>
    <mergeCell ref="A32:F32"/>
    <mergeCell ref="H32:M32"/>
    <mergeCell ref="N32:T36"/>
    <mergeCell ref="B33:F33"/>
    <mergeCell ref="I33:M33"/>
    <mergeCell ref="A9:F9"/>
    <mergeCell ref="A37:F38"/>
    <mergeCell ref="B55:F55"/>
    <mergeCell ref="A60:F61"/>
    <mergeCell ref="A62:F62"/>
    <mergeCell ref="B63:F63"/>
    <mergeCell ref="A68:F68"/>
    <mergeCell ref="A69:F69"/>
    <mergeCell ref="A70:F70"/>
    <mergeCell ref="A71:F71"/>
    <mergeCell ref="A72:F73"/>
    <mergeCell ref="A74:F75"/>
    <mergeCell ref="A76:F76"/>
    <mergeCell ref="H76:M76"/>
    <mergeCell ref="N76:T84"/>
    <mergeCell ref="A77:F77"/>
    <mergeCell ref="G33:G76"/>
    <mergeCell ref="A39:F39"/>
    <mergeCell ref="B40:F40"/>
    <mergeCell ref="A46:F46"/>
    <mergeCell ref="A49:F49"/>
    <mergeCell ref="B52:F52"/>
    <mergeCell ref="A54:F54"/>
    <mergeCell ref="H77:M77"/>
    <mergeCell ref="G78:G97"/>
    <mergeCell ref="I78:M78"/>
    <mergeCell ref="H85:T97"/>
    <mergeCell ref="B86:F86"/>
    <mergeCell ref="B90:F90"/>
    <mergeCell ref="B95:F95"/>
    <mergeCell ref="A87:F88"/>
    <mergeCell ref="A89:F89"/>
    <mergeCell ref="A96:F97"/>
    <mergeCell ref="A98:F98"/>
    <mergeCell ref="H98:M98"/>
    <mergeCell ref="N98:T104"/>
    <mergeCell ref="I99:M99"/>
    <mergeCell ref="I104:M104"/>
    <mergeCell ref="A105:F105"/>
    <mergeCell ref="H105:T110"/>
    <mergeCell ref="A155:F155"/>
    <mergeCell ref="A156:F156"/>
    <mergeCell ref="A157:F157"/>
    <mergeCell ref="A158:F159"/>
    <mergeCell ref="A1:M8"/>
    <mergeCell ref="U1:U175"/>
    <mergeCell ref="H9:M9"/>
    <mergeCell ref="H10:M10"/>
    <mergeCell ref="N19:N29"/>
    <mergeCell ref="O25:T25"/>
    <mergeCell ref="H37:T75"/>
    <mergeCell ref="C160:F174"/>
    <mergeCell ref="A175:F175"/>
    <mergeCell ref="A120:F121"/>
    <mergeCell ref="H120:T175"/>
    <mergeCell ref="A122:F122"/>
    <mergeCell ref="A128:F129"/>
    <mergeCell ref="A130:F130"/>
    <mergeCell ref="A136:F137"/>
    <mergeCell ref="A138:F138"/>
    <mergeCell ref="B99:F99"/>
    <mergeCell ref="G99:G175"/>
    <mergeCell ref="B104:F104"/>
    <mergeCell ref="B113:F113"/>
    <mergeCell ref="B123:F123"/>
    <mergeCell ref="B131:F131"/>
    <mergeCell ref="B139:F139"/>
    <mergeCell ref="B147:F147"/>
    <mergeCell ref="A106:F106"/>
    <mergeCell ref="A107:F107"/>
    <mergeCell ref="A108:F108"/>
    <mergeCell ref="A109:F110"/>
    <mergeCell ref="A111:F111"/>
    <mergeCell ref="H111:M111"/>
    <mergeCell ref="N111:T119"/>
    <mergeCell ref="A112:F112"/>
    <mergeCell ref="H112:M112"/>
    <mergeCell ref="I113:M113"/>
    <mergeCell ref="A145:F145"/>
    <mergeCell ref="A146:F146"/>
    <mergeCell ref="A152:F153"/>
    <mergeCell ref="A154:F154"/>
  </mergeCells>
  <dataValidations>
    <dataValidation type="decimal" allowBlank="1" showDropDown="1" showErrorMessage="1" sqref="F22:F24 M22:M24 T22:T24 F27:F29 M27:M29 T27:T29 F35:F36 M35:M36 F42:F45 F47:F48 F50:F51 F53 F57:F59 F65:F67 M80:M84 F79:F85 F92:F94 F101:F103 M101:M103 F115:F119 M115:M119 F125:F127 F133:F135 F142:F144 F149:F151">
      <formula1>0.0</formula1>
      <formula2>500.0</formula2>
    </dataValidation>
    <dataValidation type="decimal" operator="greaterThan" allowBlank="1" showDropDown="1" showErrorMessage="1" sqref="M11">
      <formula1>0.0</formula1>
    </dataValidation>
  </dataValidation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59"/>
      <c r="B1" s="559"/>
      <c r="C1" s="559"/>
      <c r="D1" s="559"/>
      <c r="E1" s="818"/>
      <c r="F1" s="559"/>
      <c r="G1" s="573"/>
    </row>
    <row r="2">
      <c r="A2" s="559"/>
      <c r="B2" s="559"/>
      <c r="C2" s="559"/>
      <c r="D2" s="559"/>
      <c r="E2" s="818"/>
      <c r="F2" s="559"/>
    </row>
    <row r="3">
      <c r="A3" s="559"/>
      <c r="B3" s="559"/>
      <c r="C3" s="559"/>
      <c r="D3" s="559"/>
      <c r="E3" s="818"/>
      <c r="F3" s="559"/>
    </row>
    <row r="4">
      <c r="A4" s="559"/>
      <c r="B4" s="559"/>
      <c r="C4" s="559"/>
      <c r="D4" s="559"/>
      <c r="E4" s="818"/>
      <c r="F4" s="559"/>
    </row>
    <row r="5">
      <c r="A5" s="559"/>
      <c r="B5" s="559"/>
      <c r="C5" s="559"/>
      <c r="D5" s="559"/>
      <c r="E5" s="818"/>
      <c r="F5" s="559"/>
    </row>
    <row r="6">
      <c r="A6" s="559"/>
      <c r="B6" s="559"/>
      <c r="C6" s="559"/>
      <c r="D6" s="559"/>
      <c r="E6" s="818"/>
      <c r="F6" s="559"/>
    </row>
    <row r="7">
      <c r="A7" s="559"/>
      <c r="B7" s="559"/>
      <c r="C7" s="559"/>
      <c r="D7" s="559"/>
      <c r="E7" s="818"/>
      <c r="F7" s="559"/>
    </row>
    <row r="8">
      <c r="A8" s="559"/>
    </row>
    <row r="9">
      <c r="A9" s="819" t="s">
        <v>130</v>
      </c>
      <c r="B9" s="27"/>
      <c r="C9" s="27"/>
      <c r="D9" s="27"/>
      <c r="E9" s="27"/>
      <c r="F9" s="28"/>
    </row>
    <row r="10">
      <c r="A10" s="697" t="str">
        <f>HYPERLINK("https://goo.gl/forms/3ibooB993Hi7SS2d2","PRESS TO RECORD BODY WEIGHT")</f>
        <v>PRESS TO RECORD BODY WEIGHT</v>
      </c>
      <c r="B10" s="16"/>
      <c r="C10" s="16"/>
      <c r="D10" s="16"/>
      <c r="E10" s="16"/>
      <c r="F10" s="17"/>
    </row>
    <row r="11">
      <c r="A11" s="303"/>
      <c r="B11" s="2"/>
      <c r="C11" s="2"/>
      <c r="D11" s="2"/>
      <c r="E11" s="2"/>
      <c r="F11" s="37"/>
    </row>
    <row r="12">
      <c r="A12" s="630" t="s">
        <v>37</v>
      </c>
      <c r="B12" s="27"/>
      <c r="C12" s="27"/>
      <c r="D12" s="27"/>
      <c r="E12" s="27"/>
      <c r="F12" s="28"/>
    </row>
    <row r="13">
      <c r="A13" s="820" t="s">
        <v>131</v>
      </c>
      <c r="B13" s="27"/>
      <c r="C13" s="27"/>
      <c r="D13" s="27"/>
      <c r="E13" s="27"/>
      <c r="F13" s="28"/>
    </row>
    <row r="14">
      <c r="A14" s="821"/>
      <c r="B14" s="821"/>
    </row>
    <row r="15">
      <c r="A15" s="514" t="s">
        <v>45</v>
      </c>
      <c r="B15" s="27"/>
      <c r="C15" s="27"/>
      <c r="D15" s="27"/>
      <c r="E15" s="27"/>
      <c r="F15" s="28"/>
      <c r="G15" s="573"/>
      <c r="H15" s="191" t="s">
        <v>85</v>
      </c>
      <c r="I15" s="27"/>
      <c r="J15" s="27"/>
      <c r="K15" s="27"/>
      <c r="L15" s="27"/>
      <c r="M15" s="28"/>
      <c r="N15" s="573"/>
      <c r="O15" s="191" t="s">
        <v>85</v>
      </c>
      <c r="P15" s="27"/>
      <c r="Q15" s="27"/>
      <c r="R15" s="27"/>
      <c r="S15" s="27"/>
      <c r="T15" s="28"/>
      <c r="U15" s="573"/>
    </row>
    <row r="16">
      <c r="A16" s="822"/>
      <c r="B16" s="822"/>
      <c r="H16" s="573"/>
      <c r="O16" s="573"/>
    </row>
    <row r="17">
      <c r="A17" s="822"/>
    </row>
    <row r="18">
      <c r="A18" s="518" t="s">
        <v>16</v>
      </c>
      <c r="B18" s="27"/>
      <c r="C18" s="27"/>
      <c r="D18" s="27"/>
      <c r="E18" s="27"/>
      <c r="F18" s="28"/>
      <c r="H18" s="518" t="s">
        <v>16</v>
      </c>
      <c r="I18" s="27"/>
      <c r="J18" s="27"/>
      <c r="K18" s="27"/>
      <c r="L18" s="27"/>
      <c r="M18" s="28"/>
      <c r="O18" s="518" t="s">
        <v>16</v>
      </c>
      <c r="P18" s="27"/>
      <c r="Q18" s="27"/>
      <c r="R18" s="27"/>
      <c r="S18" s="27"/>
      <c r="T18" s="28"/>
    </row>
    <row r="19">
      <c r="A19" s="64" t="str">
        <f>HYPERLINK("https://www.youtube.com/watch?v=iLgUDezDMbU","1. BENCH PRESS")</f>
        <v>1. BENCH PRESS</v>
      </c>
      <c r="B19" s="44"/>
      <c r="C19" s="44"/>
      <c r="D19" s="44"/>
      <c r="E19" s="44"/>
      <c r="F19" s="45"/>
      <c r="H19" s="64" t="str">
        <f>HYPERLINK("https://www.youtube.com/watch?v=iLgUDezDMbU","1. MACHINE PRESS")</f>
        <v>1. MACHINE PRESS</v>
      </c>
      <c r="I19" s="44"/>
      <c r="J19" s="44"/>
      <c r="K19" s="44"/>
      <c r="L19" s="44"/>
      <c r="M19" s="45"/>
      <c r="O19" s="104" t="str">
        <f>HYPERLINK("https://www.youtube.com/watch?v=iLgUDezDMbU","1. DUMBBELL INCLINE PRESS")</f>
        <v>1. DUMBBELL INCLINE PRESS</v>
      </c>
      <c r="P19" s="44"/>
      <c r="Q19" s="44"/>
      <c r="R19" s="44"/>
      <c r="S19" s="44"/>
      <c r="T19" s="45"/>
    </row>
    <row r="20">
      <c r="A20" s="565" t="s">
        <v>86</v>
      </c>
      <c r="B20" s="194" t="str">
        <f>'WEEK 3 '!B20</f>
        <v>#REF!</v>
      </c>
      <c r="C20" s="11"/>
      <c r="D20" s="11"/>
      <c r="E20" s="11"/>
      <c r="F20" s="86"/>
      <c r="G20" s="573"/>
      <c r="H20" s="193" t="s">
        <v>86</v>
      </c>
      <c r="I20" s="823" t="str">
        <f>'WEEK 3 '!I20</f>
        <v>#REF!</v>
      </c>
      <c r="O20" s="193" t="s">
        <v>86</v>
      </c>
      <c r="P20" s="823" t="str">
        <f>'WEEK 2'!B34</f>
        <v>#REF!</v>
      </c>
    </row>
    <row r="21">
      <c r="A21" s="331" t="s">
        <v>18</v>
      </c>
      <c r="B21" s="332" t="s">
        <v>19</v>
      </c>
      <c r="C21" s="332" t="s">
        <v>20</v>
      </c>
      <c r="D21" s="332" t="s">
        <v>21</v>
      </c>
      <c r="E21" s="584" t="s">
        <v>22</v>
      </c>
      <c r="F21" s="52" t="s">
        <v>23</v>
      </c>
      <c r="H21" s="87" t="s">
        <v>18</v>
      </c>
      <c r="I21" s="824" t="s">
        <v>19</v>
      </c>
      <c r="J21" s="824" t="s">
        <v>20</v>
      </c>
      <c r="K21" s="824" t="s">
        <v>21</v>
      </c>
      <c r="L21" s="308" t="s">
        <v>22</v>
      </c>
      <c r="M21" s="202" t="s">
        <v>23</v>
      </c>
      <c r="O21" s="87" t="s">
        <v>18</v>
      </c>
      <c r="P21" s="824" t="s">
        <v>19</v>
      </c>
      <c r="Q21" s="824" t="s">
        <v>20</v>
      </c>
      <c r="R21" s="824" t="s">
        <v>21</v>
      </c>
      <c r="S21" s="308" t="s">
        <v>22</v>
      </c>
      <c r="T21" s="202" t="s">
        <v>23</v>
      </c>
    </row>
    <row r="22">
      <c r="A22" s="203">
        <v>1.0</v>
      </c>
      <c r="B22" s="204" t="str">
        <f>IF( 'WEEK 4 '!B20&lt;125,45,mround('WEEK 4 '!B20*0.35,5))</f>
        <v>#REF!</v>
      </c>
      <c r="C22" s="204">
        <v>6.0</v>
      </c>
      <c r="D22" s="205" t="s">
        <v>87</v>
      </c>
      <c r="E22" s="57"/>
      <c r="F22" s="58"/>
      <c r="H22" s="207">
        <v>1.0</v>
      </c>
      <c r="I22" s="208" t="str">
        <f>mround('WEEK 4 '!I20*0.35,5)</f>
        <v>#REF!</v>
      </c>
      <c r="J22" s="54">
        <v>6.0</v>
      </c>
      <c r="K22" s="74" t="s">
        <v>25</v>
      </c>
      <c r="L22" s="825"/>
      <c r="M22" s="76"/>
      <c r="O22" s="211">
        <v>1.0</v>
      </c>
      <c r="P22" s="208" t="str">
        <f>mround('WEEK 4 '!P20*0.35,5)</f>
        <v>#REF!</v>
      </c>
      <c r="Q22" s="208">
        <v>6.0</v>
      </c>
      <c r="R22" s="74" t="s">
        <v>25</v>
      </c>
      <c r="S22" s="825"/>
      <c r="T22" s="76">
        <v>6.0</v>
      </c>
    </row>
    <row r="23">
      <c r="A23" s="203">
        <v>2.0</v>
      </c>
      <c r="B23" s="204" t="str">
        <f>mround('WEEK 4 '!B20*0.8,5)</f>
        <v>#REF!</v>
      </c>
      <c r="C23" s="204">
        <v>1.0</v>
      </c>
      <c r="D23" s="205" t="s">
        <v>25</v>
      </c>
      <c r="E23" s="57"/>
      <c r="F23" s="58"/>
      <c r="H23" s="207">
        <v>2.0</v>
      </c>
      <c r="I23" s="208" t="str">
        <f>mround('WEEK 4 '!I20*0.65,5)</f>
        <v>#REF!</v>
      </c>
      <c r="J23" s="208">
        <v>1.0</v>
      </c>
      <c r="K23" s="74" t="s">
        <v>25</v>
      </c>
      <c r="L23" s="825"/>
      <c r="M23" s="76"/>
      <c r="O23" s="207">
        <v>2.0</v>
      </c>
      <c r="P23" s="208" t="str">
        <f>mround('WEEK 4 '!P20*0.65,5)</f>
        <v>#REF!</v>
      </c>
      <c r="Q23" s="208">
        <v>1.0</v>
      </c>
      <c r="R23" s="74" t="s">
        <v>25</v>
      </c>
      <c r="S23" s="825"/>
      <c r="T23" s="76">
        <v>1.0</v>
      </c>
    </row>
    <row r="24">
      <c r="A24" s="209">
        <v>3.0</v>
      </c>
      <c r="B24" s="204" t="str">
        <f>mround('WEEK 4 '!B20*0.9,5)</f>
        <v>#REF!</v>
      </c>
      <c r="C24" s="73">
        <v>1.0</v>
      </c>
      <c r="D24" s="56" t="s">
        <v>25</v>
      </c>
      <c r="E24" s="57"/>
      <c r="F24" s="58"/>
      <c r="H24" s="207">
        <v>3.0</v>
      </c>
      <c r="I24" s="208" t="str">
        <f>mround('WEEK 4 '!I20*0.85,5)</f>
        <v>#REF!</v>
      </c>
      <c r="J24" s="208">
        <v>1.0</v>
      </c>
      <c r="K24" s="74" t="s">
        <v>25</v>
      </c>
      <c r="L24" s="825"/>
      <c r="M24" s="76"/>
      <c r="O24" s="207">
        <v>3.0</v>
      </c>
      <c r="P24" s="208" t="str">
        <f>mround('WEEK 4 '!P20*0.85,5)</f>
        <v>#REF!</v>
      </c>
      <c r="Q24" s="208">
        <v>1.0</v>
      </c>
      <c r="R24" s="74" t="s">
        <v>25</v>
      </c>
      <c r="S24" s="825"/>
      <c r="T24" s="76">
        <v>1.0</v>
      </c>
    </row>
    <row r="25">
      <c r="A25" s="209">
        <v>4.0</v>
      </c>
      <c r="B25" s="204" t="str">
        <f>'WEEK 4 '!B20</f>
        <v>#REF!</v>
      </c>
      <c r="C25" s="73">
        <v>1.0</v>
      </c>
      <c r="D25" s="56" t="s">
        <v>25</v>
      </c>
      <c r="E25" s="57"/>
      <c r="F25" s="58"/>
      <c r="H25" s="211">
        <v>4.0</v>
      </c>
      <c r="I25" s="208" t="str">
        <f>mround('WEEK 4 '!I20*1,5)</f>
        <v>#REF!</v>
      </c>
      <c r="J25" s="212" t="s">
        <v>33</v>
      </c>
      <c r="K25" s="74" t="s">
        <v>25</v>
      </c>
      <c r="L25" s="825"/>
      <c r="M25" s="76"/>
      <c r="O25" s="207">
        <v>4.0</v>
      </c>
      <c r="P25" s="208" t="str">
        <f>mround('WEEK 4 '!P20*1,5)</f>
        <v>#REF!</v>
      </c>
      <c r="Q25" s="212" t="s">
        <v>33</v>
      </c>
      <c r="R25" s="74" t="s">
        <v>25</v>
      </c>
      <c r="S25" s="825"/>
      <c r="T25" s="76">
        <v>20.0</v>
      </c>
    </row>
    <row r="26">
      <c r="A26" s="213" t="s">
        <v>132</v>
      </c>
      <c r="B26" s="11"/>
      <c r="C26" s="11"/>
      <c r="D26" s="11"/>
      <c r="E26" s="11"/>
      <c r="F26" s="86"/>
      <c r="G26" s="214" t="s">
        <v>90</v>
      </c>
      <c r="H26" s="215" t="str">
        <f>IF(OR(ISBLANK('WEEK 4 '!M25),ISBLANK('WEEK 4 '!M24),ISBLANK('WEEK 4 '!M23)),"PROCEED TO DOWNSETS",if('WEEK 4 '!M25&gt;=6,"NEW 4 REP MAX ATTEMPT","PROCEED TO DOWN SETS"))</f>
        <v>#REF!</v>
      </c>
      <c r="M26" s="19"/>
      <c r="O26" s="215" t="str">
        <f>IF(OR(ISBLANK('WEEK 4 '!T25),ISBLANK('WEEK 4 '!T24),ISBLANK('WEEK 4 '!T23)),"PROCEED TO DOWNSETS",if('WEEK 4 '!T25&gt;=6,"NEW 4 REP MAX ATTEMPT","PROCEED TO DOWN SETS"))</f>
        <v>#REF!</v>
      </c>
      <c r="T26" s="19"/>
    </row>
    <row r="27">
      <c r="A27" s="216" t="str">
        <f>if('WEEK 4 '!F25&lt;1,"",5)</f>
        <v>#REF!</v>
      </c>
      <c r="B27" s="73" t="str">
        <f>IF('WEEK 4 '!F25&lt;1,"",'WEEK 4 '!B25+5)</f>
        <v>#REF!</v>
      </c>
      <c r="C27" s="205" t="str">
        <f>if('WEEK 4 '!F25&lt;1,"",1)</f>
        <v>#REF!</v>
      </c>
      <c r="D27" s="205" t="str">
        <f>if('WEEK 4 '!F25&lt;1,"","1-5 MIN")</f>
        <v>#REF!</v>
      </c>
      <c r="E27" s="217"/>
      <c r="F27" s="58"/>
      <c r="H27" s="218" t="str">
        <f>IF(OR(ISBLANK('WEEK 4 '!M25),ISBLANK('WEEK 4 '!M24),ISBLANK('WEEK 4 '!M23)),"",IF('WEEK 4 '!M25&gt;=6,5,""))</f>
        <v>#REF!</v>
      </c>
      <c r="I27" s="219" t="str">
        <f>IF(OR(ISBLANK('WEEK 4 '!M25),ISBLANK('WEEK 4 '!M24),ISBLANK('WEEK 4 '!M23)),"",IF('WEEK 4 '!M25&gt;=6,'WEEK 4 '!I20+5,""))</f>
        <v>#REF!</v>
      </c>
      <c r="J27" s="220" t="str">
        <f>IF(OR(ISBLANK('WEEK 4 '!M25),ISBLANK('WEEK 4 '!M24),ISBLANK('WEEK 4 '!M23)),"",IF('WEEK 4 '!M25&gt;=6,"REP OUT",""))</f>
        <v>#REF!</v>
      </c>
      <c r="K27" s="221" t="str">
        <f>IF(OR(ISBLANK('WEEK 4 '!M25),ISBLANK('WEEK 4 '!M24),ISBLANK('WEEK 4 '!M23)),"",IF('WEEK 4 '!M25&gt;5,"1 MIN",""))</f>
        <v>#REF!</v>
      </c>
      <c r="L27" s="222"/>
      <c r="M27" s="230"/>
      <c r="O27" s="218" t="str">
        <f>IF(OR(ISBLANK('WEEK 4 '!T25),ISBLANK('WEEK 4 '!T24),ISBLANK('WEEK 4 '!T23)),"",IF('WEEK 4 '!T25&gt;=6,5,""))</f>
        <v>#REF!</v>
      </c>
      <c r="P27" s="219" t="str">
        <f>IF(OR(ISBLANK('WEEK 4 '!T25),ISBLANK('WEEK 4 '!T24),ISBLANK('WEEK 4 '!T23)),"",IF('WEEK 4 '!T25&gt;=6,'WEEK 4 '!P20+5,""))</f>
        <v>#REF!</v>
      </c>
      <c r="Q27" s="220" t="str">
        <f>IF(OR(ISBLANK('WEEK 4 '!T25),ISBLANK('WEEK 4 '!T24),ISBLANK('WEEK 4 '!T23)),"",IF('WEEK 4 '!T25&gt;=6,"REP OUT",""))</f>
        <v>#REF!</v>
      </c>
      <c r="R27" s="221" t="str">
        <f>IF(OR(ISBLANK('WEEK 4 '!T25),ISBLANK('WEEK 4 '!T24),ISBLANK('WEEK 4 '!T23)),"",IF('WEEK 4 '!T25&gt;5,"1 MIN",""))</f>
        <v>#REF!</v>
      </c>
      <c r="S27" s="222"/>
      <c r="T27" s="230"/>
    </row>
    <row r="28">
      <c r="A28" s="226" t="str">
        <f>IF('WEEK 4 '!F27&lt;1,"","6")</f>
        <v>#REF!</v>
      </c>
      <c r="B28" s="204" t="str">
        <f>IF('WEEK 4 '!F27&lt;1,"",'WEEK 4 '!B27+5)</f>
        <v>#REF!</v>
      </c>
      <c r="C28" s="212" t="str">
        <f>IF('WEEK 4 '!F27&lt;1,"","1")</f>
        <v>#REF!</v>
      </c>
      <c r="D28" s="54" t="str">
        <f>IF('WEEK 4 '!F27&lt;1,"","1-5 MIN")</f>
        <v>#REF!</v>
      </c>
      <c r="E28" s="225"/>
      <c r="F28" s="642"/>
      <c r="G28" s="826"/>
      <c r="H28" s="213" t="str">
        <f>IF(OR(ISBLANK('WEEK 4 '!M25),ISBLANK('WEEK 4 '!M24),ISBLANK('WEEK 4 '!M23)),"FILL OUT REP LOG FIRST","DOWN SETS")</f>
        <v>DOWN SETS</v>
      </c>
      <c r="I28" s="11"/>
      <c r="J28" s="11"/>
      <c r="K28" s="11"/>
      <c r="L28" s="11"/>
      <c r="M28" s="86"/>
      <c r="O28" s="227" t="str">
        <f>IF(OR(ISBLANK('WEEK 4 '!T25),ISBLANK('WEEK 4 '!T24),ISBLANK('WEEK 4 '!T23)),"FILL OUT REP LOG FIRST","DOWN SETS")</f>
        <v>DOWN SETS</v>
      </c>
      <c r="P28" s="7"/>
      <c r="Q28" s="7"/>
      <c r="R28" s="7"/>
      <c r="S28" s="7"/>
      <c r="T28" s="197"/>
    </row>
    <row r="29">
      <c r="A29" s="213" t="s">
        <v>100</v>
      </c>
      <c r="B29" s="11"/>
      <c r="C29" s="11"/>
      <c r="D29" s="11"/>
      <c r="E29" s="11"/>
      <c r="F29" s="86"/>
      <c r="H29" s="82" t="str">
        <f>IF('WEEK 4 '!M27&gt;=4,"",IF(OR(ISBLANK('WEEK 4 '!M25),ISBLANK('WEEK 4 '!M24),ISBLANK('WEEK 4 '!M23)),"",IF('WEEK 4 '!M25&gt;5,6,5)))</f>
        <v>#REF!</v>
      </c>
      <c r="I29" s="228" t="str">
        <f>IF('WEEK 4 '!M27&gt;=4,"",IF(OR(ISBLANK('WEEK 4 '!M25),ISBLANK('WEEK 4 '!M24),ISBLANK('WEEK 4 '!M23)),"",IF('WEEK 4 '!M25&lt;6,mround('WEEK 4 '!I20*0.8,5),IF('WEEK 4 '!M25&lt;10,mround('WEEK 4 '!I20*0.93,5),mround('WEEK 4 '!I20*0.7,5)))))</f>
        <v>#REF!</v>
      </c>
      <c r="J29" s="229" t="str">
        <f>IF('WEEK 4 '!M27&gt;=4,"",IF(OR(ISBLANK('WEEK 4 '!M25),ISBLANK('WEEK 4 '!M24),ISBLANK('WEEK 4 '!M23)),"","REP OUT"))</f>
        <v>#REF!</v>
      </c>
      <c r="K29" s="56" t="str">
        <f>IF('WEEK 4 '!M27&gt;=4,"",IF(OR(ISBLANK('WEEK 4 '!M25),ISBLANK('WEEK 4 '!M24),ISBLANK('WEEK 4 '!M23)),"","1 MIN"))</f>
        <v>#REF!</v>
      </c>
      <c r="L29" s="222"/>
      <c r="M29" s="237"/>
      <c r="O29" s="82" t="str">
        <f>IF('WEEK 4 '!T27&gt;=4,"",IF(OR(ISBLANK('WEEK 4 '!T25),ISBLANK('WEEK 4 '!T24),ISBLANK('WEEK 4 '!T23)),"",IF('WEEK 4 '!T25&gt;5,6,5)))</f>
        <v>#REF!</v>
      </c>
      <c r="P29" s="228" t="str">
        <f>IF('WEEK 4 '!T27&gt;=4,"",IF(OR(ISBLANK('WEEK 4 '!T25),ISBLANK('WEEK 4 '!T24),ISBLANK('WEEK 4 '!T23)),"",IF('WEEK 4 '!T25&lt;6,mround('WEEK 4 '!P20*0.8,5),IF('WEEK 4 '!T25&lt;10,mround('WEEK 4 '!P20*0.93,5),mround('WEEK 4 '!P20*0.7,5)))))</f>
        <v>#REF!</v>
      </c>
      <c r="Q29" s="229" t="str">
        <f>IF('WEEK 4 '!T27&gt;=4,"",IF(OR(ISBLANK('WEEK 4 '!T25),ISBLANK('WEEK 4 '!T24),ISBLANK('WEEK 4 '!T23)),"","REP OUT"))</f>
        <v>#REF!</v>
      </c>
      <c r="R29" s="56" t="str">
        <f>IF('WEEK 4 '!T27&gt;=4,"",IF(OR(ISBLANK('WEEK 4 '!T25),ISBLANK('WEEK 4 '!T24),ISBLANK('WEEK 4 '!T23)),"","1 MIN"))</f>
        <v>#REF!</v>
      </c>
      <c r="S29" s="222"/>
      <c r="T29" s="237"/>
    </row>
    <row r="30">
      <c r="A30" s="231" t="str">
        <f>IF('WEEK 4 '!F27&gt;=1,7,IF('WEEK 4 '!F25&lt;1,5,6))</f>
        <v>#REF!</v>
      </c>
      <c r="B30" s="232" t="str">
        <f>MROUND('WEEK 4 '!B32*0.9,5)</f>
        <v>#REF!</v>
      </c>
      <c r="C30" s="233" t="s">
        <v>33</v>
      </c>
      <c r="D30" s="234" t="s">
        <v>94</v>
      </c>
      <c r="E30" s="235"/>
      <c r="F30" s="827"/>
      <c r="H30" s="236" t="str">
        <f>IF('WEEK 4 '!M27&gt;=4,"",IF(OR(ISBLANK('WEEK 4 '!M25),ISBLANK('WEEK 4 '!M24),ISBLANK('WEEK 4 '!M23)),"",IF('WEEK 4 '!M25&gt;5,7,6)))</f>
        <v>#REF!</v>
      </c>
      <c r="I30" s="221" t="str">
        <f>IF('WEEK 4 '!M27&gt;=4,"",IF(OR(ISBLANK('WEEK 4 '!M25),ISBLANK('WEEK 4 '!M24),ISBLANK('WEEK 4 '!M23)),"",IF('WEEK 4 '!M25&lt;6,mround('WEEK 4 '!I20*0.65,5),IF('WEEK 4 '!M25&lt;10,mround('WEEK 4 '!I20*0.7,5),mround('WEEK 4 '!I20*0.65,5)))))</f>
        <v>#REF!</v>
      </c>
      <c r="J30" s="229" t="str">
        <f>IF('WEEK 4 '!M27&gt;=4,"",IF(OR(ISBLANK('WEEK 4 '!M25),ISBLANK('WEEK 4 '!M24),ISBLANK('WEEK 4 '!M23)),"","REP OUT"))</f>
        <v>#REF!</v>
      </c>
      <c r="K30" s="56" t="str">
        <f>IF('WEEK 4 '!M27&gt;=4,"",IF(OR(ISBLANK('WEEK 4 '!M25),ISBLANK('WEEK 4 '!M24),ISBLANK('WEEK 4 '!M23)),"","1 MIN"))</f>
        <v>#REF!</v>
      </c>
      <c r="L30" s="222"/>
      <c r="M30" s="237"/>
      <c r="O30" s="236" t="str">
        <f>IF('WEEK 4 '!T27&gt;=4,"",IF(OR(ISBLANK('WEEK 4 '!T25),ISBLANK('WEEK 4 '!T24),ISBLANK('WEEK 4 '!T23)),"",IF('WEEK 4 '!T25&gt;5,7,6)))</f>
        <v>#REF!</v>
      </c>
      <c r="P30" s="221" t="str">
        <f>IF('WEEK 4 '!T27&gt;=4,"",IF(OR(ISBLANK('WEEK 4 '!T25),ISBLANK('WEEK 4 '!T24),ISBLANK('WEEK 4 '!T23)),"",IF('WEEK 4 '!T25&lt;6,mround('WEEK 4 '!P20*0.65,5),IF('WEEK 4 '!T25&lt;10,mround('WEEK 4 '!P20*0.7,5),mround('WEEK 4 '!P20*0.65,5)))))</f>
        <v>#REF!</v>
      </c>
      <c r="Q30" s="229" t="str">
        <f>IF('WEEK 4 '!T27&gt;=4,"",IF(OR(ISBLANK('WEEK 4 '!T25),ISBLANK('WEEK 4 '!T24),ISBLANK('WEEK 4 '!T23)),"","REP OUT"))</f>
        <v>#REF!</v>
      </c>
      <c r="R30" s="56" t="str">
        <f>IF('WEEK 4 '!T27&gt;=4,"",IF(OR(ISBLANK('WEEK 4 '!T25),ISBLANK('WEEK 4 '!T24),ISBLANK('WEEK 4 '!T23)),"","1 MIN"))</f>
        <v>#REF!</v>
      </c>
      <c r="S30" s="222"/>
      <c r="T30" s="237"/>
    </row>
    <row r="31">
      <c r="A31" s="210" t="str">
        <f>IF('WEEK 4 '!F27&gt;=1,8,IF('WEEK 4 '!F25&lt;1,6,7))</f>
        <v>#REF!</v>
      </c>
      <c r="B31" s="204" t="str">
        <f>mround('WEEK 4 '!B32*0.78,5)</f>
        <v>#REF!</v>
      </c>
      <c r="C31" s="212" t="s">
        <v>33</v>
      </c>
      <c r="D31" s="56" t="s">
        <v>94</v>
      </c>
      <c r="E31" s="225"/>
      <c r="F31" s="58"/>
      <c r="H31" s="828" t="str">
        <f>IF('WEEK 4 '!M27&lt;4,"",IF(OR(ISBLANK('WEEK 4 '!M25),ISBLANK('WEEK 4 '!M24),ISBLANK('WEEK 4 '!M23)),"",IF('WEEK 4 '!M27&gt;3,6,5)))</f>
        <v>#REF!</v>
      </c>
      <c r="I31" s="829" t="str">
        <f>IF('WEEK 4 '!M27&lt;4,"",IF(OR(ISBLANK('WEEK 4 '!M25),ISBLANK('WEEK 4 '!M24),ISBLANK('WEEK 4 '!M23)),"",IF('WEEK 4 '!M27&lt;6,mround('WEEK 4 '!I33*0.8,5),IF('WEEK 4 '!M27&lt;10,mround('WEEK 4 '!I33*0.93,5),mround('WEEK 4 '!I33*0.7,5)))))</f>
        <v>#REF!</v>
      </c>
      <c r="J31" s="830" t="str">
        <f>IF('WEEK 4 '!M27&lt;4,"",IF(OR(ISBLANK('WEEK 4 '!M25),ISBLANK('WEEK 4 '!M24),ISBLANK('WEEK 4 '!M23)),"","REP OUT"))</f>
        <v>#REF!</v>
      </c>
      <c r="K31" s="234" t="str">
        <f>IF('WEEK 4 '!M27&lt;4,"",IF(OR(ISBLANK('WEEK 4 '!M25),ISBLANK('WEEK 4 '!M24),ISBLANK('WEEK 4 '!M23)),"","1 MIN"))</f>
        <v>#REF!</v>
      </c>
      <c r="L31" s="831"/>
      <c r="M31" s="832"/>
      <c r="O31" s="236" t="str">
        <f>IF('WEEK 4 '!T27&lt;4,"",IF(OR(ISBLANK('WEEK 4 '!T25),ISBLANK('WEEK 4 '!T24),ISBLANK('WEEK 4 '!T23)),"",IF('WEEK 4 '!T27&gt;4,6,6)))</f>
        <v>#REF!</v>
      </c>
      <c r="P31" s="221" t="str">
        <f>IF('WEEK 4 '!T27&lt;4,"",IF(OR(ISBLANK('WEEK 4 '!T25),ISBLANK('WEEK 4 '!T24),ISBLANK('WEEK 4 '!T23)),"",IF('WEEK 4 '!T27&lt;6,mround('WEEK 4 '!P33*0.8,5),IF('WEEK 4 '!T27&lt;10,mround('WEEK 4 '!P33*0.93,5),mround('WEEK 4 '!P33*0.7,5)))))</f>
        <v>#REF!</v>
      </c>
      <c r="Q31" s="229" t="str">
        <f>IF('WEEK 4 '!T27&lt;4,"",IF(OR(ISBLANK('WEEK 4 '!T25),ISBLANK('WEEK 4 '!T24),ISBLANK('WEEK 4 '!T23)),"","REP OUT"))</f>
        <v>#REF!</v>
      </c>
      <c r="R31" s="56" t="str">
        <f>IF('WEEK 4 '!T27&lt;4,"",IF(OR(ISBLANK('WEEK 4 '!T25),ISBLANK('WEEK 4 '!T24),ISBLANK('WEEK 4 '!T23)),"","1 MIN"))</f>
        <v>#REF!</v>
      </c>
      <c r="S31" s="222"/>
      <c r="T31" s="237"/>
    </row>
    <row r="32">
      <c r="A32" s="239" t="s">
        <v>91</v>
      </c>
      <c r="B32" s="240" t="str">
        <f>IF(OR(ISBLANK('WEEK 4 '!F25),ISBLANK('WEEK 4 '!F24),ISBLANK('WEEK 4 '!F23)),"",IF('WEEK 4 '!F28&gt;=1,'WEEK 4 '!B28,IF('WEEK 4 '!F27&gt;=1,'WEEK 4 '!B27,IF('WEEK 4 '!F25&lt;1,'WEEK 4 '!B25-5,'WEEK 4 '!B25))))</f>
        <v>#REF!</v>
      </c>
      <c r="C32" s="2"/>
      <c r="D32" s="2"/>
      <c r="E32" s="2"/>
      <c r="F32" s="37"/>
      <c r="G32" s="94"/>
      <c r="H32" s="828" t="str">
        <f>IF('WEEK 4 '!M27&lt;4,"",IF(OR(ISBLANK('WEEK 4 '!M25),ISBLANK('WEEK 4 '!M24),ISBLANK('WEEK 4 '!M27)),"",IF('WEEK 4 '!M27&gt;3,7,"")))</f>
        <v>#REF!</v>
      </c>
      <c r="I32" s="829" t="str">
        <f>IF('WEEK 4 '!M27&lt;4,"",IF(OR(ISBLANK('WEEK 4 '!M25),ISBLANK('WEEK 4 '!M24),ISBLANK('WEEK 4 '!M23)),"",IF('WEEK 4 '!M27&lt;6,mround('WEEK 4 '!I33*0.65,5),IF('WEEK 4 '!M27&lt;10,mround('WEEK 4 '!I33*0.7,5),mround('WEEK 4 '!I33*0.65,5)))))</f>
        <v>#REF!</v>
      </c>
      <c r="J32" s="830" t="str">
        <f>IF('WEEK 4 '!M27&lt;4,"",IF(OR(ISBLANK('WEEK 4 '!M25),ISBLANK('WEEK 4 '!M24),ISBLANK('WEEK 4 '!M23)),"","REP OUT"))</f>
        <v>#REF!</v>
      </c>
      <c r="K32" s="234" t="str">
        <f>IF('WEEK 4 '!M27&lt;4,"",IF(OR(ISBLANK('WEEK 4 '!M25),ISBLANK('WEEK 4 '!M24),ISBLANK('WEEK 4 '!M23)),"","1 MIN"))</f>
        <v>#REF!</v>
      </c>
      <c r="L32" s="831"/>
      <c r="M32" s="832"/>
      <c r="N32" s="94"/>
      <c r="O32" s="236" t="str">
        <f>IF('WEEK 4 '!T27&lt;4,"",IF(OR(ISBLANK('WEEK 4 '!T25),ISBLANK('WEEK 4 '!T24),ISBLANK('WEEK 4 '!T27)),"",IF('WEEK 4 '!T27&gt;3,7,"")))</f>
        <v>#REF!</v>
      </c>
      <c r="P32" s="221" t="str">
        <f>IF('WEEK 4 '!T27&lt;4,"",IF(OR(ISBLANK('WEEK 4 '!T25),ISBLANK('WEEK 4 '!T24),ISBLANK('WEEK 4 '!T23)),"",IF('WEEK 4 '!T27&lt;6,mround('WEEK 4 '!P33*0.65,5),IF('WEEK 4 '!T27&lt;10,mround('WEEK 4 '!P33*0.7,5),mround('WEEK 4 '!P33*0.65,5)))))</f>
        <v>#REF!</v>
      </c>
      <c r="Q32" s="229" t="str">
        <f>IF('WEEK 4 '!T27&lt;4,"",IF(OR(ISBLANK('WEEK 4 '!T25),ISBLANK('WEEK 4 '!T24),ISBLANK('WEEK 4 '!T23)),"","REP OUT"))</f>
        <v>#REF!</v>
      </c>
      <c r="R32" s="56" t="str">
        <f>IF('WEEK 4 '!T27&lt;4,"",IF(OR(ISBLANK('WEEK 4 '!T25),ISBLANK('WEEK 4 '!T24),ISBLANK('WEEK 4 '!T23)),"","1 MIN"))</f>
        <v>#REF!</v>
      </c>
      <c r="S32" s="222"/>
      <c r="T32" s="237"/>
      <c r="U32" s="94"/>
    </row>
    <row r="33">
      <c r="A33" s="94"/>
      <c r="B33" s="94"/>
      <c r="C33" s="94"/>
      <c r="D33" s="94"/>
      <c r="E33" s="94"/>
      <c r="F33" s="94"/>
      <c r="G33" s="94"/>
      <c r="H33" s="195" t="s">
        <v>91</v>
      </c>
      <c r="I33" s="196" t="str">
        <f>IF(OR(ISBLANK('WEEK 4 '!M23),ISBLANK('WEEK 4 '!M24),ISBLANK('WEEK 4 '!M25)),"",IF('WEEK 4 '!M27&gt;=4,I27,IF('WEEK 4 '!M25&lt;=3,'WEEK 4 '!I25-5,'WEEK 4 '!I25)))</f>
        <v>#REF!</v>
      </c>
      <c r="J33" s="7"/>
      <c r="K33" s="7"/>
      <c r="L33" s="7"/>
      <c r="M33" s="197"/>
      <c r="N33" s="94"/>
      <c r="O33" s="247" t="s">
        <v>91</v>
      </c>
      <c r="P33" s="240" t="str">
        <f>IF(OR(ISBLANK('WEEK 4 '!T23),ISBLANK('WEEK 4 '!T24),ISBLANK('WEEK 4 '!T25)),"",IF('WEEK 4 '!T27&gt;=4,'WEEK 4 '!P27,IF('WEEK 4 '!T25&lt;=3,'WEEK 4 '!P25-5,'WEEK 4 '!P25)))</f>
        <v>#REF!</v>
      </c>
      <c r="Q33" s="2"/>
      <c r="R33" s="2"/>
      <c r="S33" s="2"/>
      <c r="T33" s="37"/>
      <c r="U33" s="94"/>
    </row>
    <row r="34">
      <c r="A34" s="244"/>
      <c r="B34" s="244"/>
      <c r="C34" s="244"/>
      <c r="D34" s="244"/>
      <c r="E34" s="244"/>
      <c r="F34" s="244"/>
      <c r="G34" s="244"/>
      <c r="H34" s="794"/>
      <c r="I34" s="795"/>
      <c r="J34" s="795"/>
      <c r="K34" s="795"/>
      <c r="L34" s="795"/>
      <c r="M34" s="795"/>
      <c r="N34" s="244"/>
      <c r="O34" s="833"/>
      <c r="P34" s="834"/>
      <c r="Q34" s="834"/>
      <c r="R34" s="834"/>
      <c r="S34" s="834"/>
      <c r="T34" s="834"/>
      <c r="U34" s="244"/>
    </row>
    <row r="35">
      <c r="A35" s="64" t="str">
        <f>HYPERLINK("https://www.youtube.com/watch?v=mGv8D2DGyNQ","2. DB CHEST FLY")</f>
        <v>2. DB CHEST FLY</v>
      </c>
      <c r="B35" s="44"/>
      <c r="C35" s="44"/>
      <c r="D35" s="44"/>
      <c r="E35" s="44"/>
      <c r="F35" s="45"/>
      <c r="G35" s="573"/>
      <c r="H35" s="192" t="str">
        <f>HYPERLINK("https://www.youtube.com/watch?v=THb0dhfIu1k","2. MACHINE CHEST FLY")</f>
        <v>2. MACHINE CHEST FLY</v>
      </c>
      <c r="I35" s="4"/>
      <c r="J35" s="4"/>
      <c r="K35" s="4"/>
      <c r="L35" s="4"/>
      <c r="M35" s="48"/>
      <c r="N35" s="573"/>
      <c r="O35" s="573"/>
      <c r="P35" s="573"/>
      <c r="Q35" s="573"/>
      <c r="R35" s="573"/>
      <c r="S35" s="573"/>
      <c r="T35" s="573"/>
      <c r="U35" s="573"/>
    </row>
    <row r="36">
      <c r="A36" s="571" t="s">
        <v>124</v>
      </c>
      <c r="B36" s="251" t="str">
        <f>IF(P33="",'Week 2 (MASTER SHEET)'!B34,'WEEK 4 '!P33)</f>
        <v>#REF!</v>
      </c>
      <c r="C36" s="11"/>
      <c r="D36" s="11"/>
      <c r="E36" s="11"/>
      <c r="F36" s="86"/>
      <c r="G36" s="573"/>
      <c r="H36" s="571" t="s">
        <v>124</v>
      </c>
      <c r="I36" s="251" t="str">
        <f>B36</f>
        <v>#REF!</v>
      </c>
      <c r="J36" s="11"/>
      <c r="K36" s="11"/>
      <c r="L36" s="11"/>
      <c r="M36" s="86"/>
      <c r="N36" s="573"/>
      <c r="O36" s="573"/>
      <c r="P36" s="573"/>
      <c r="Q36" s="573"/>
      <c r="R36" s="573"/>
      <c r="S36" s="573"/>
      <c r="T36" s="573"/>
      <c r="U36" s="573"/>
    </row>
    <row r="37">
      <c r="A37" s="198" t="s">
        <v>18</v>
      </c>
      <c r="B37" s="199" t="s">
        <v>19</v>
      </c>
      <c r="C37" s="199" t="s">
        <v>20</v>
      </c>
      <c r="D37" s="199" t="s">
        <v>21</v>
      </c>
      <c r="E37" s="252" t="s">
        <v>22</v>
      </c>
      <c r="F37" s="52" t="s">
        <v>23</v>
      </c>
      <c r="G37" s="573"/>
      <c r="H37" s="198" t="s">
        <v>18</v>
      </c>
      <c r="I37" s="199" t="s">
        <v>19</v>
      </c>
      <c r="J37" s="199" t="s">
        <v>20</v>
      </c>
      <c r="K37" s="199" t="s">
        <v>21</v>
      </c>
      <c r="L37" s="252" t="s">
        <v>22</v>
      </c>
      <c r="M37" s="52" t="s">
        <v>23</v>
      </c>
      <c r="N37" s="573"/>
      <c r="O37" s="573"/>
      <c r="P37" s="573"/>
      <c r="Q37" s="573"/>
      <c r="R37" s="573"/>
      <c r="S37" s="573"/>
      <c r="T37" s="573"/>
      <c r="U37" s="573"/>
    </row>
    <row r="38">
      <c r="A38" s="209">
        <v>1.0</v>
      </c>
      <c r="B38" s="204" t="str">
        <f>IF('WEEK 4 '!B36&lt;5,0,mround('WEEK 4 '!B36*0.29,2.5))</f>
        <v>#REF!</v>
      </c>
      <c r="C38" s="54" t="s">
        <v>29</v>
      </c>
      <c r="D38" s="255" t="s">
        <v>133</v>
      </c>
      <c r="E38" s="57"/>
      <c r="F38" s="58"/>
      <c r="G38" s="573"/>
      <c r="H38" s="209">
        <v>1.0</v>
      </c>
      <c r="I38" s="204" t="str">
        <f>mround(('WEEK 4 '!I36*2)*0.75,10)</f>
        <v>#REF!</v>
      </c>
      <c r="J38" s="54" t="s">
        <v>29</v>
      </c>
      <c r="K38" s="255" t="s">
        <v>133</v>
      </c>
      <c r="L38" s="57"/>
      <c r="M38" s="58"/>
      <c r="N38" s="573"/>
      <c r="O38" s="573"/>
      <c r="P38" s="573"/>
      <c r="Q38" s="573"/>
      <c r="R38" s="573"/>
      <c r="S38" s="573"/>
      <c r="T38" s="573"/>
      <c r="U38" s="573"/>
    </row>
    <row r="39">
      <c r="A39" s="256">
        <v>2.0</v>
      </c>
      <c r="B39" s="338" t="str">
        <f>IF('WEEK 4 '!B36&lt;5,0,mround('WEEK 4 '!B36*0.29,2.5))</f>
        <v>#REF!</v>
      </c>
      <c r="C39" s="54" t="s">
        <v>29</v>
      </c>
      <c r="D39" s="255" t="s">
        <v>133</v>
      </c>
      <c r="E39" s="63"/>
      <c r="F39" s="58"/>
      <c r="G39" s="573"/>
      <c r="H39" s="256">
        <v>2.0</v>
      </c>
      <c r="I39" s="258" t="str">
        <f>mround('WEEK 4 '!I36*2*0.75,10)</f>
        <v>#REF!</v>
      </c>
      <c r="J39" s="54" t="s">
        <v>29</v>
      </c>
      <c r="K39" s="255" t="s">
        <v>133</v>
      </c>
      <c r="L39" s="63"/>
      <c r="M39" s="58"/>
      <c r="N39" s="573"/>
      <c r="O39" s="573"/>
      <c r="P39" s="573"/>
      <c r="Q39" s="573"/>
      <c r="R39" s="573"/>
      <c r="S39" s="573"/>
      <c r="T39" s="573"/>
      <c r="U39" s="573"/>
    </row>
    <row r="40">
      <c r="A40" s="94"/>
    </row>
    <row r="42">
      <c r="A42" s="64" t="str">
        <f>HYPERLINK("https://www.youtube.com/watch?v=PnaDzYh2axA","3. LAT PULL DOWN")</f>
        <v>3. LAT PULL DOWN</v>
      </c>
      <c r="B42" s="44"/>
      <c r="C42" s="44"/>
      <c r="D42" s="44"/>
      <c r="E42" s="44"/>
      <c r="F42" s="45"/>
      <c r="G42" s="835" t="s">
        <v>9</v>
      </c>
    </row>
    <row r="43">
      <c r="A43" s="249" t="s">
        <v>86</v>
      </c>
      <c r="B43" s="836" t="str">
        <f>'WEEK 3 '!B55</f>
        <v>#REF!</v>
      </c>
      <c r="C43" s="7"/>
      <c r="D43" s="7"/>
      <c r="E43" s="7"/>
      <c r="F43" s="197"/>
    </row>
    <row r="44">
      <c r="A44" s="49" t="s">
        <v>18</v>
      </c>
      <c r="B44" s="332" t="s">
        <v>19</v>
      </c>
      <c r="C44" s="332" t="s">
        <v>20</v>
      </c>
      <c r="D44" s="332" t="s">
        <v>21</v>
      </c>
      <c r="E44" s="837" t="s">
        <v>22</v>
      </c>
      <c r="F44" s="838" t="s">
        <v>23</v>
      </c>
    </row>
    <row r="45">
      <c r="A45" s="209">
        <v>1.0</v>
      </c>
      <c r="B45" s="204" t="str">
        <f>mround('WEEK 4 '!B43*0.5,5)</f>
        <v>#REF!</v>
      </c>
      <c r="C45" s="95" t="s">
        <v>134</v>
      </c>
      <c r="D45" s="56" t="s">
        <v>135</v>
      </c>
      <c r="E45" s="57"/>
      <c r="F45" s="58"/>
    </row>
    <row r="46">
      <c r="A46" s="209">
        <v>2.0</v>
      </c>
      <c r="B46" s="204" t="str">
        <f>mround('WEEK 4 '!B43*0.5,5)</f>
        <v>#REF!</v>
      </c>
      <c r="C46" s="95" t="s">
        <v>134</v>
      </c>
      <c r="D46" s="56" t="s">
        <v>135</v>
      </c>
      <c r="E46" s="57"/>
      <c r="F46" s="58"/>
    </row>
    <row r="47">
      <c r="A47" s="256">
        <v>3.0</v>
      </c>
      <c r="B47" s="78" t="str">
        <f>mround('WEEK 4 '!B43*0.5,5)</f>
        <v>#REF!</v>
      </c>
      <c r="C47" s="96" t="s">
        <v>134</v>
      </c>
      <c r="D47" s="62" t="s">
        <v>135</v>
      </c>
      <c r="E47" s="63"/>
      <c r="F47" s="58"/>
    </row>
    <row r="48">
      <c r="A48" s="269"/>
      <c r="B48" s="269"/>
      <c r="C48" s="269"/>
      <c r="D48" s="269"/>
      <c r="E48" s="270"/>
      <c r="F48" s="94"/>
    </row>
    <row r="49">
      <c r="A49" s="269"/>
      <c r="B49" s="269"/>
      <c r="C49" s="269"/>
      <c r="D49" s="269"/>
      <c r="E49" s="270"/>
      <c r="F49" s="94"/>
    </row>
    <row r="50">
      <c r="A50" s="64" t="str">
        <f>HYPERLINK("https://www.youtube.com/watch?v=9YH1YvZbiY0","4. MACHINE LOW ROW")</f>
        <v>4. MACHINE LOW ROW</v>
      </c>
      <c r="B50" s="44"/>
      <c r="C50" s="44"/>
      <c r="D50" s="44"/>
      <c r="E50" s="44"/>
      <c r="F50" s="45"/>
    </row>
    <row r="51">
      <c r="A51" s="429" t="s">
        <v>86</v>
      </c>
      <c r="B51" s="47">
        <v>100.0</v>
      </c>
      <c r="C51" s="4"/>
      <c r="D51" s="4"/>
      <c r="E51" s="4"/>
      <c r="F51" s="48"/>
    </row>
    <row r="52">
      <c r="A52" s="49" t="s">
        <v>18</v>
      </c>
      <c r="B52" s="50" t="s">
        <v>19</v>
      </c>
      <c r="C52" s="50" t="s">
        <v>20</v>
      </c>
      <c r="D52" s="50" t="s">
        <v>21</v>
      </c>
      <c r="E52" s="560" t="s">
        <v>22</v>
      </c>
      <c r="F52" s="52" t="s">
        <v>23</v>
      </c>
    </row>
    <row r="53">
      <c r="A53" s="53">
        <v>1.0</v>
      </c>
      <c r="B53" s="839" t="str">
        <f>mround('WEEK 4 '!B51*0.5,5)</f>
        <v>#REF!</v>
      </c>
      <c r="C53" s="95" t="s">
        <v>134</v>
      </c>
      <c r="D53" s="56" t="s">
        <v>135</v>
      </c>
      <c r="E53" s="57"/>
      <c r="F53" s="58"/>
    </row>
    <row r="54">
      <c r="A54" s="59">
        <v>2.0</v>
      </c>
      <c r="B54" s="840" t="str">
        <f>mround('WEEK 4 '!B51*0.5,5)</f>
        <v>#REF!</v>
      </c>
      <c r="C54" s="96" t="s">
        <v>134</v>
      </c>
      <c r="D54" s="62" t="s">
        <v>135</v>
      </c>
      <c r="E54" s="63"/>
      <c r="F54" s="58"/>
    </row>
    <row r="55">
      <c r="A55" s="94"/>
      <c r="B55" s="94"/>
      <c r="C55" s="94"/>
      <c r="D55" s="94"/>
      <c r="E55" s="189"/>
      <c r="F55" s="94"/>
    </row>
    <row r="56">
      <c r="A56" s="94"/>
      <c r="B56" s="94"/>
      <c r="C56" s="94"/>
      <c r="D56" s="94"/>
      <c r="E56" s="189"/>
      <c r="F56" s="94"/>
    </row>
    <row r="57">
      <c r="A57" s="64" t="str">
        <f>HYPERLINK("https://www.youtube.com/watch?v=hMUUvL3FlkE","5. MACHINE HIGH ROW")</f>
        <v>5. MACHINE HIGH ROW</v>
      </c>
      <c r="B57" s="44"/>
      <c r="C57" s="44"/>
      <c r="D57" s="44"/>
      <c r="E57" s="44"/>
      <c r="F57" s="45"/>
    </row>
    <row r="58">
      <c r="A58" s="429" t="s">
        <v>86</v>
      </c>
      <c r="B58" s="47">
        <v>100.0</v>
      </c>
      <c r="C58" s="4"/>
      <c r="D58" s="4"/>
      <c r="E58" s="4"/>
      <c r="F58" s="48"/>
    </row>
    <row r="59">
      <c r="A59" s="49" t="s">
        <v>18</v>
      </c>
      <c r="B59" s="50" t="s">
        <v>19</v>
      </c>
      <c r="C59" s="50" t="s">
        <v>20</v>
      </c>
      <c r="D59" s="50" t="s">
        <v>21</v>
      </c>
      <c r="E59" s="560" t="s">
        <v>22</v>
      </c>
      <c r="F59" s="52" t="s">
        <v>23</v>
      </c>
    </row>
    <row r="60">
      <c r="A60" s="53">
        <v>1.0</v>
      </c>
      <c r="B60" s="839" t="str">
        <f>mround('WEEK 4 '!B58*0.5,5)</f>
        <v>#REF!</v>
      </c>
      <c r="C60" s="95" t="s">
        <v>134</v>
      </c>
      <c r="D60" s="56" t="s">
        <v>135</v>
      </c>
      <c r="E60" s="57"/>
      <c r="F60" s="58"/>
    </row>
    <row r="61">
      <c r="A61" s="59">
        <v>2.0</v>
      </c>
      <c r="B61" s="840" t="str">
        <f>mround('WEEK 4 '!B58*0.5,5)</f>
        <v>#REF!</v>
      </c>
      <c r="C61" s="96" t="s">
        <v>134</v>
      </c>
      <c r="D61" s="62" t="s">
        <v>135</v>
      </c>
      <c r="E61" s="63"/>
      <c r="F61" s="58"/>
    </row>
    <row r="62">
      <c r="A62" s="573"/>
      <c r="B62" s="573"/>
      <c r="C62" s="573"/>
      <c r="D62" s="573"/>
      <c r="E62" s="841"/>
      <c r="F62" s="573"/>
    </row>
    <row r="63">
      <c r="A63" s="277" t="str">
        <f>HYPERLINK("https://docs.google.com/a/fitnessresults.com/forms/d/e/1FAIpQLSd7MoczESe8Yjv6BKpmwAZGn9Aiymrs9-UdgfYIUpbr9t5NXg/viewform?usp=pp_url&amp;entry.93370101","CLICK TO COMPLETE WORKOUT")</f>
        <v>CLICK TO COMPLETE WORKOUT</v>
      </c>
      <c r="B63" s="27"/>
      <c r="C63" s="27"/>
      <c r="D63" s="27"/>
      <c r="E63" s="27"/>
      <c r="F63" s="28"/>
    </row>
    <row r="64">
      <c r="A64" s="842"/>
      <c r="B64" s="842"/>
      <c r="C64" s="842"/>
      <c r="D64" s="842"/>
      <c r="E64" s="843"/>
      <c r="F64" s="573"/>
    </row>
    <row r="65">
      <c r="A65" s="577" t="s">
        <v>95</v>
      </c>
      <c r="B65" s="27"/>
      <c r="C65" s="27"/>
      <c r="D65" s="27"/>
      <c r="E65" s="27"/>
      <c r="F65" s="28"/>
    </row>
    <row r="66">
      <c r="A66" s="822"/>
      <c r="B66" s="822"/>
      <c r="C66" s="822"/>
      <c r="D66" s="822"/>
      <c r="E66" s="844"/>
      <c r="F66" s="822"/>
    </row>
    <row r="67">
      <c r="A67" s="822"/>
      <c r="B67" s="822"/>
      <c r="C67" s="822"/>
      <c r="D67" s="822"/>
      <c r="E67" s="844"/>
      <c r="F67" s="822"/>
    </row>
    <row r="68">
      <c r="A68" s="518" t="s">
        <v>96</v>
      </c>
      <c r="B68" s="27"/>
      <c r="C68" s="27"/>
      <c r="D68" s="27"/>
      <c r="E68" s="27"/>
      <c r="F68" s="28"/>
    </row>
    <row r="69">
      <c r="A69" s="64" t="str">
        <f>HYPERLINK("https://www.youtube.com/watch?v=ZjpkMnGZjTQ"," 1. SISSY SQUATS")</f>
        <v> 1. SISSY SQUATS</v>
      </c>
      <c r="B69" s="44"/>
      <c r="C69" s="44"/>
      <c r="D69" s="44"/>
      <c r="E69" s="44"/>
      <c r="F69" s="45"/>
    </row>
    <row r="70">
      <c r="A70" s="49" t="s">
        <v>18</v>
      </c>
      <c r="B70" s="50" t="s">
        <v>19</v>
      </c>
      <c r="C70" s="50" t="s">
        <v>20</v>
      </c>
      <c r="D70" s="50" t="s">
        <v>21</v>
      </c>
      <c r="E70" s="560" t="s">
        <v>22</v>
      </c>
      <c r="F70" s="52" t="s">
        <v>23</v>
      </c>
    </row>
    <row r="71">
      <c r="A71" s="275">
        <v>1.0</v>
      </c>
      <c r="B71" s="561" t="s">
        <v>97</v>
      </c>
      <c r="C71" s="561">
        <v>10.0</v>
      </c>
      <c r="D71" s="561" t="s">
        <v>88</v>
      </c>
      <c r="E71" s="562"/>
      <c r="F71" s="58"/>
    </row>
    <row r="72">
      <c r="A72" s="280">
        <v>2.0</v>
      </c>
      <c r="B72" s="563" t="s">
        <v>97</v>
      </c>
      <c r="C72" s="563">
        <v>10.0</v>
      </c>
      <c r="D72" s="563" t="s">
        <v>88</v>
      </c>
      <c r="E72" s="564"/>
      <c r="F72" s="58"/>
    </row>
    <row r="73">
      <c r="A73" s="822"/>
      <c r="B73" s="822"/>
      <c r="C73" s="822"/>
      <c r="D73" s="822"/>
      <c r="E73" s="844"/>
      <c r="F73" s="822"/>
    </row>
    <row r="74">
      <c r="A74" s="822"/>
      <c r="B74" s="822"/>
      <c r="C74" s="822"/>
      <c r="D74" s="822"/>
      <c r="E74" s="844"/>
      <c r="F74" s="822"/>
    </row>
    <row r="75">
      <c r="A75" s="473" t="s">
        <v>136</v>
      </c>
      <c r="B75" s="44"/>
      <c r="C75" s="44"/>
      <c r="D75" s="44"/>
      <c r="E75" s="44"/>
      <c r="F75" s="45"/>
    </row>
    <row r="76">
      <c r="A76" s="429" t="s">
        <v>86</v>
      </c>
      <c r="B76" s="572">
        <v>100.0</v>
      </c>
      <c r="C76" s="11"/>
      <c r="D76" s="11"/>
      <c r="E76" s="11"/>
      <c r="F76" s="86"/>
    </row>
    <row r="77">
      <c r="A77" s="49" t="s">
        <v>18</v>
      </c>
      <c r="B77" s="50" t="s">
        <v>19</v>
      </c>
      <c r="C77" s="50" t="s">
        <v>20</v>
      </c>
      <c r="D77" s="50" t="s">
        <v>21</v>
      </c>
      <c r="E77" s="560" t="s">
        <v>22</v>
      </c>
      <c r="F77" s="52" t="s">
        <v>23</v>
      </c>
    </row>
    <row r="78">
      <c r="A78" s="275">
        <v>1.0</v>
      </c>
      <c r="B78" s="845" t="str">
        <f>mround('WEEK 4 '!B76*0.35,5)</f>
        <v>#REF!</v>
      </c>
      <c r="C78" s="55">
        <v>10.0</v>
      </c>
      <c r="D78" s="373" t="s">
        <v>88</v>
      </c>
      <c r="E78" s="57"/>
      <c r="F78" s="58"/>
    </row>
    <row r="79">
      <c r="A79" s="275">
        <v>2.0</v>
      </c>
      <c r="B79" s="845" t="str">
        <f>mround('WEEK 4 '!B76*0.5,5)</f>
        <v>#REF!</v>
      </c>
      <c r="C79" s="55">
        <v>10.0</v>
      </c>
      <c r="D79" s="373" t="s">
        <v>88</v>
      </c>
      <c r="E79" s="57"/>
      <c r="F79" s="58"/>
    </row>
    <row r="80">
      <c r="A80" s="275">
        <v>3.0</v>
      </c>
      <c r="B80" s="845" t="str">
        <f>mround('WEEK 4 '!B76*0.75,5)</f>
        <v>#REF!</v>
      </c>
      <c r="C80" s="55">
        <v>10.0</v>
      </c>
      <c r="D80" s="373" t="s">
        <v>88</v>
      </c>
      <c r="E80" s="57"/>
      <c r="F80" s="58"/>
    </row>
    <row r="81">
      <c r="A81" s="280">
        <v>4.0</v>
      </c>
      <c r="B81" s="846" t="str">
        <f>mround('WEEK 4 '!B76*1,5)</f>
        <v>#REF!</v>
      </c>
      <c r="C81" s="61">
        <v>10.0</v>
      </c>
      <c r="D81" s="847" t="s">
        <v>88</v>
      </c>
      <c r="E81" s="63"/>
      <c r="F81" s="58"/>
    </row>
    <row r="82">
      <c r="A82" s="287"/>
    </row>
    <row r="84">
      <c r="A84" s="64" t="str">
        <f>HYPERLINK("https://www.youtube.com/watch?v=NZ9KiFtbiMs","3. LEG EXTENSION")</f>
        <v>3. LEG EXTENSION</v>
      </c>
      <c r="B84" s="44"/>
      <c r="C84" s="44"/>
      <c r="D84" s="44"/>
      <c r="E84" s="44"/>
      <c r="F84" s="45"/>
    </row>
    <row r="85">
      <c r="A85" s="193" t="s">
        <v>86</v>
      </c>
      <c r="B85" s="81" t="str">
        <f>IF('WEEK 3 '!B92='WEEK 3 '!B94,'WEEK 3 '!B92+5,IF('WEEK 3 '!F92&lt;=9,MROUND('WEEK 3 '!B90*0.95,5),'WEEK 3 '!B92))</f>
        <v>#REF!</v>
      </c>
      <c r="C85" s="4"/>
      <c r="D85" s="4"/>
      <c r="E85" s="4"/>
      <c r="F85" s="48"/>
    </row>
    <row r="86">
      <c r="A86" s="87" t="s">
        <v>18</v>
      </c>
      <c r="B86" s="88" t="s">
        <v>19</v>
      </c>
      <c r="C86" s="88" t="s">
        <v>20</v>
      </c>
      <c r="D86" s="88" t="s">
        <v>21</v>
      </c>
      <c r="E86" s="89" t="s">
        <v>22</v>
      </c>
      <c r="F86" s="202" t="s">
        <v>23</v>
      </c>
    </row>
    <row r="87">
      <c r="A87" s="319">
        <v>1.0</v>
      </c>
      <c r="B87" s="204" t="str">
        <f>if('WEEK 3 '!B93='WEEK 3 '!B94,'WEEK 4 '!B85,'WEEK 4 '!B85)</f>
        <v>#REF!</v>
      </c>
      <c r="C87" s="656">
        <v>20.0</v>
      </c>
      <c r="D87" s="317" t="s">
        <v>25</v>
      </c>
      <c r="E87" s="420"/>
      <c r="F87" s="76"/>
    </row>
    <row r="88">
      <c r="A88" s="319">
        <v>2.0</v>
      </c>
      <c r="B88" s="204" t="str">
        <f t="shared" ref="B88:B89" si="1">if('WEEK 4 '!F87&lt;8,mround('WEEK 4 '!B87*0.8,5),IF('WEEK 4 '!F87&lt;=14,MROUND('WEEK 4 '!B87*0.95,5),'WEEK 4 '!B87))</f>
        <v>#REF!</v>
      </c>
      <c r="C88" s="656">
        <v>20.0</v>
      </c>
      <c r="D88" s="317" t="s">
        <v>25</v>
      </c>
      <c r="E88" s="657"/>
      <c r="F88" s="76"/>
    </row>
    <row r="89">
      <c r="A89" s="848">
        <v>3.0</v>
      </c>
      <c r="B89" s="849" t="str">
        <f t="shared" si="1"/>
        <v>#REF!</v>
      </c>
      <c r="C89" s="850">
        <v>20.0</v>
      </c>
      <c r="D89" s="738" t="s">
        <v>25</v>
      </c>
      <c r="E89" s="851"/>
      <c r="F89" s="297"/>
    </row>
    <row r="90">
      <c r="A90" s="852"/>
      <c r="B90" s="852"/>
      <c r="C90" s="852"/>
      <c r="D90" s="852"/>
      <c r="E90" s="852"/>
      <c r="F90" s="852"/>
    </row>
    <row r="91">
      <c r="A91" s="573"/>
    </row>
    <row r="92">
      <c r="A92" s="853" t="str">
        <f>HYPERLINK("https://www.youtube.com/watch?v=NZ9KiFtbiMs","4. LEG CURL")</f>
        <v>4. LEG CURL</v>
      </c>
      <c r="B92" s="44"/>
      <c r="C92" s="44"/>
      <c r="D92" s="44"/>
      <c r="E92" s="44"/>
      <c r="F92" s="45"/>
      <c r="G92" s="573"/>
      <c r="H92" s="853" t="str">
        <f>HYPERLINK("https://youtu.be/kmN9cJ79PDE","4. PRONE LEG CURL")</f>
        <v>4. PRONE LEG CURL</v>
      </c>
      <c r="I92" s="44"/>
      <c r="J92" s="44"/>
      <c r="K92" s="44"/>
      <c r="L92" s="44"/>
      <c r="M92" s="45"/>
      <c r="N92" s="854"/>
    </row>
    <row r="93">
      <c r="A93" s="193" t="s">
        <v>86</v>
      </c>
      <c r="B93" s="85" t="str">
        <f>IF('WEEK 3 '!B101='WEEK 3 '!B103,'WEEK 3 '!B101+5,IF('WEEK 3 '!F101&lt;=9,MROUND('WEEK 3 '!B99*0.95,5),'WEEK 3 '!B101))</f>
        <v>#REF!</v>
      </c>
      <c r="C93" s="11"/>
      <c r="D93" s="11"/>
      <c r="E93" s="11"/>
      <c r="F93" s="86"/>
      <c r="H93" s="855" t="s">
        <v>86</v>
      </c>
      <c r="I93" s="85" t="str">
        <f>IF('WEEK 3 '!I101='WEEK 3 '!I103,'WEEK 3 '!I101+5,IF('WEEK 3 '!M101&lt;=9,MROUND('WEEK 3 '!I99*0.95,5),'WEEK 3 '!I101))</f>
        <v>#REF!</v>
      </c>
      <c r="J93" s="11"/>
      <c r="K93" s="11"/>
      <c r="L93" s="11"/>
      <c r="M93" s="11"/>
    </row>
    <row r="94">
      <c r="A94" s="87" t="s">
        <v>18</v>
      </c>
      <c r="B94" s="88" t="s">
        <v>19</v>
      </c>
      <c r="C94" s="88" t="s">
        <v>20</v>
      </c>
      <c r="D94" s="856" t="s">
        <v>21</v>
      </c>
      <c r="E94" s="89" t="s">
        <v>22</v>
      </c>
      <c r="F94" s="202" t="s">
        <v>23</v>
      </c>
      <c r="H94" s="88" t="s">
        <v>18</v>
      </c>
      <c r="I94" s="88" t="s">
        <v>19</v>
      </c>
      <c r="J94" s="88" t="s">
        <v>20</v>
      </c>
      <c r="K94" s="856" t="s">
        <v>21</v>
      </c>
      <c r="L94" s="89" t="s">
        <v>22</v>
      </c>
      <c r="M94" s="202" t="s">
        <v>23</v>
      </c>
    </row>
    <row r="95">
      <c r="A95" s="211">
        <v>1.0</v>
      </c>
      <c r="B95" s="90" t="str">
        <f>if('WEEK 3 '!B102='WEEK 3 '!B103,B93,B93)</f>
        <v>#REF!</v>
      </c>
      <c r="C95" s="90">
        <v>20.0</v>
      </c>
      <c r="D95" s="857" t="s">
        <v>25</v>
      </c>
      <c r="E95" s="91"/>
      <c r="F95" s="76"/>
      <c r="G95" s="214" t="s">
        <v>90</v>
      </c>
      <c r="H95" s="858">
        <v>1.0</v>
      </c>
      <c r="I95" s="90" t="str">
        <f>if('WEEK 3 '!I102='WEEK 3 '!I103,I93,I93)</f>
        <v>#REF!</v>
      </c>
      <c r="J95" s="90">
        <v>20.0</v>
      </c>
      <c r="K95" s="857" t="s">
        <v>25</v>
      </c>
      <c r="L95" s="91"/>
      <c r="M95" s="76"/>
    </row>
    <row r="96">
      <c r="A96" s="209">
        <v>2.0</v>
      </c>
      <c r="B96" s="90" t="str">
        <f t="shared" ref="B96:B97" si="2">if('WEEK 4 '!F95&lt;8,mround('WEEK 4 '!B95*0.8,5),IF('WEEK 4 '!F95&lt;=14,MROUND('WEEK 4 '!B95*0.95,5),'WEEK 4 '!B95))</f>
        <v>#REF!</v>
      </c>
      <c r="C96" s="90">
        <v>20.0</v>
      </c>
      <c r="D96" s="857" t="s">
        <v>25</v>
      </c>
      <c r="E96" s="91"/>
      <c r="F96" s="76"/>
      <c r="H96" s="471">
        <v>2.0</v>
      </c>
      <c r="I96" s="90" t="str">
        <f t="shared" ref="I96:I97" si="3">if('WEEK 4 '!M95&lt;8,mround('WEEK 4 '!I95*0.8,5),IF('WEEK 4 '!M95&lt;=14,MROUND('WEEK 4 '!I95*0.95,5),'WEEK 4 '!I95))</f>
        <v>#REF!</v>
      </c>
      <c r="J96" s="90">
        <v>20.0</v>
      </c>
      <c r="K96" s="857" t="s">
        <v>25</v>
      </c>
      <c r="L96" s="91"/>
      <c r="M96" s="76"/>
    </row>
    <row r="97">
      <c r="A97" s="256">
        <v>3.0</v>
      </c>
      <c r="B97" s="92" t="str">
        <f t="shared" si="2"/>
        <v>#REF!</v>
      </c>
      <c r="C97" s="92">
        <v>20.0</v>
      </c>
      <c r="D97" s="859" t="s">
        <v>25</v>
      </c>
      <c r="E97" s="93"/>
      <c r="F97" s="76"/>
      <c r="G97" s="826"/>
      <c r="H97" s="471">
        <v>3.0</v>
      </c>
      <c r="I97" s="90" t="str">
        <f t="shared" si="3"/>
        <v>#REF!</v>
      </c>
      <c r="J97" s="90">
        <v>20.0</v>
      </c>
      <c r="K97" s="857" t="s">
        <v>25</v>
      </c>
      <c r="L97" s="91"/>
      <c r="M97" s="76"/>
    </row>
    <row r="98">
      <c r="A98" s="573"/>
      <c r="B98" s="573"/>
      <c r="C98" s="573"/>
      <c r="D98" s="573"/>
      <c r="E98" s="573"/>
      <c r="F98" s="573"/>
      <c r="G98" s="573"/>
      <c r="H98" s="573"/>
      <c r="I98" s="573"/>
      <c r="J98" s="573"/>
      <c r="K98" s="573"/>
      <c r="L98" s="573"/>
      <c r="M98" s="573"/>
      <c r="N98" s="573"/>
      <c r="O98" s="573"/>
      <c r="P98" s="573"/>
      <c r="Q98" s="573"/>
      <c r="R98" s="573"/>
      <c r="S98" s="573"/>
      <c r="T98" s="573"/>
      <c r="U98" s="573"/>
    </row>
    <row r="99">
      <c r="A99" s="277" t="str">
        <f>HYPERLINK("https://docs.google.com/a/fitnessresults.com/forms/d/e/1FAIpQLSd7MoczESe8Yjv6BKpmwAZGn9Aiymrs9-UdgfYIUpbr9t5NXg/viewform?usp=pp_url&amp;entry.93370101","CLICK TO COMPLETE WORKOUT")</f>
        <v>CLICK TO COMPLETE WORKOUT</v>
      </c>
      <c r="B99" s="27"/>
      <c r="C99" s="27"/>
      <c r="D99" s="27"/>
      <c r="E99" s="27"/>
      <c r="F99" s="28"/>
      <c r="G99" s="573"/>
      <c r="H99" s="573"/>
      <c r="I99" s="573"/>
      <c r="J99" s="573"/>
      <c r="K99" s="573"/>
      <c r="L99" s="573"/>
      <c r="M99" s="573"/>
      <c r="N99" s="573"/>
      <c r="O99" s="573"/>
      <c r="P99" s="573"/>
      <c r="Q99" s="573"/>
      <c r="R99" s="573"/>
      <c r="S99" s="573"/>
      <c r="T99" s="573"/>
      <c r="U99" s="573"/>
    </row>
    <row r="100">
      <c r="A100" s="573"/>
      <c r="B100" s="573"/>
      <c r="C100" s="573"/>
      <c r="D100" s="573"/>
      <c r="E100" s="573"/>
      <c r="F100" s="573"/>
      <c r="G100" s="573"/>
      <c r="H100" s="573"/>
      <c r="I100" s="573"/>
      <c r="J100" s="573"/>
      <c r="K100" s="573"/>
      <c r="L100" s="573"/>
      <c r="M100" s="573"/>
      <c r="N100" s="573"/>
      <c r="O100" s="573"/>
      <c r="P100" s="573"/>
      <c r="Q100" s="573"/>
      <c r="R100" s="573"/>
      <c r="S100" s="573"/>
      <c r="T100" s="573"/>
      <c r="U100" s="573"/>
    </row>
    <row r="101">
      <c r="A101" s="577" t="s">
        <v>30</v>
      </c>
      <c r="B101" s="27"/>
      <c r="C101" s="27"/>
      <c r="D101" s="27"/>
      <c r="E101" s="27"/>
      <c r="F101" s="28"/>
      <c r="G101" s="573"/>
    </row>
    <row r="102">
      <c r="A102" s="860"/>
    </row>
    <row r="104">
      <c r="A104" s="302" t="str">
        <f>HYPERLINK("https://www.youtube.com/watch?v=qrv8cCA-WCY","WATCH THIS BEFORE MACHINE PRESS")</f>
        <v>WATCH THIS BEFORE MACHINE PRESS</v>
      </c>
      <c r="B104" s="16"/>
      <c r="C104" s="16"/>
      <c r="D104" s="16"/>
      <c r="E104" s="16"/>
      <c r="F104" s="17"/>
      <c r="G104" s="861"/>
      <c r="H104" s="304" t="s">
        <v>98</v>
      </c>
      <c r="I104" s="27"/>
      <c r="J104" s="27"/>
      <c r="K104" s="27"/>
      <c r="L104" s="27"/>
      <c r="M104" s="28"/>
      <c r="N104" s="861"/>
      <c r="O104" s="861"/>
      <c r="P104" s="861"/>
      <c r="Q104" s="861"/>
      <c r="R104" s="861"/>
      <c r="S104" s="861"/>
      <c r="T104" s="861"/>
      <c r="U104" s="861"/>
    </row>
    <row r="105">
      <c r="A105" s="303"/>
      <c r="B105" s="2"/>
      <c r="C105" s="2"/>
      <c r="D105" s="2"/>
      <c r="E105" s="2"/>
      <c r="F105" s="37"/>
      <c r="G105" s="861"/>
      <c r="H105" s="862" t="str">
        <f>HYPERLINK("https://youtu.be/rmxOkkd2hUk","1. SHOULDER PRESS")</f>
        <v>1. SHOULDER PRESS</v>
      </c>
      <c r="I105" s="44"/>
      <c r="J105" s="44"/>
      <c r="K105" s="44"/>
      <c r="L105" s="44"/>
      <c r="M105" s="45"/>
      <c r="N105" s="861"/>
      <c r="O105" s="861"/>
      <c r="P105" s="861"/>
      <c r="Q105" s="861"/>
      <c r="R105" s="861"/>
      <c r="S105" s="861"/>
      <c r="T105" s="861"/>
      <c r="U105" s="861"/>
    </row>
    <row r="106">
      <c r="A106" s="304" t="s">
        <v>98</v>
      </c>
      <c r="B106" s="27"/>
      <c r="C106" s="27"/>
      <c r="D106" s="27"/>
      <c r="E106" s="27"/>
      <c r="F106" s="28"/>
      <c r="G106" s="214" t="s">
        <v>90</v>
      </c>
      <c r="H106" s="565" t="s">
        <v>86</v>
      </c>
      <c r="I106" s="194" t="str">
        <f>'WEEK 3 '!B113</f>
        <v>#REF!</v>
      </c>
      <c r="J106" s="11"/>
      <c r="K106" s="11"/>
      <c r="L106" s="11"/>
      <c r="M106" s="86"/>
      <c r="N106" s="861"/>
      <c r="O106" s="861"/>
      <c r="P106" s="861"/>
      <c r="Q106" s="861"/>
      <c r="R106" s="861"/>
      <c r="S106" s="861"/>
      <c r="T106" s="861"/>
      <c r="U106" s="861"/>
    </row>
    <row r="107">
      <c r="A107" s="306" t="str">
        <f>HYPERLINK("https://www.youtube.com/watch?v=-cSBPE-y38M","1.MACHINE SHOULDER PRESS")</f>
        <v>1.MACHINE SHOULDER PRESS</v>
      </c>
      <c r="B107" s="44"/>
      <c r="C107" s="44"/>
      <c r="D107" s="44"/>
      <c r="E107" s="44"/>
      <c r="F107" s="45"/>
      <c r="H107" s="331" t="s">
        <v>18</v>
      </c>
      <c r="I107" s="332" t="s">
        <v>19</v>
      </c>
      <c r="J107" s="332" t="s">
        <v>20</v>
      </c>
      <c r="K107" s="332" t="s">
        <v>21</v>
      </c>
      <c r="L107" s="584" t="s">
        <v>22</v>
      </c>
      <c r="M107" s="52" t="s">
        <v>23</v>
      </c>
      <c r="N107" s="861"/>
      <c r="O107" s="861"/>
      <c r="P107" s="861"/>
      <c r="Q107" s="861"/>
      <c r="R107" s="861"/>
      <c r="S107" s="861"/>
      <c r="T107" s="861"/>
      <c r="U107" s="861"/>
    </row>
    <row r="108">
      <c r="A108" s="87" t="s">
        <v>18</v>
      </c>
      <c r="B108" s="88" t="s">
        <v>19</v>
      </c>
      <c r="C108" s="88" t="s">
        <v>20</v>
      </c>
      <c r="D108" s="88" t="s">
        <v>21</v>
      </c>
      <c r="E108" s="308" t="s">
        <v>22</v>
      </c>
      <c r="F108" s="202" t="s">
        <v>23</v>
      </c>
      <c r="G108" s="861"/>
      <c r="H108" s="203">
        <v>1.0</v>
      </c>
      <c r="I108" s="204" t="str">
        <f>mround(I106*0.35,5)</f>
        <v>#REF!</v>
      </c>
      <c r="J108" s="204">
        <v>6.0</v>
      </c>
      <c r="K108" s="205" t="s">
        <v>87</v>
      </c>
      <c r="L108" s="57"/>
      <c r="M108" s="58"/>
      <c r="N108" s="861"/>
      <c r="O108" s="861"/>
      <c r="P108" s="861"/>
      <c r="Q108" s="861"/>
      <c r="R108" s="861"/>
      <c r="S108" s="861"/>
      <c r="T108" s="861"/>
      <c r="U108" s="861"/>
    </row>
    <row r="109">
      <c r="A109" s="309">
        <v>1.0</v>
      </c>
      <c r="B109" s="310" t="str">
        <f>MROUND('WEEK 3 '!B113*0.5,10)</f>
        <v>#REF!</v>
      </c>
      <c r="C109" s="311">
        <v>10.0</v>
      </c>
      <c r="D109" s="312" t="s">
        <v>89</v>
      </c>
      <c r="E109" s="313"/>
      <c r="F109" s="76"/>
      <c r="G109" s="861"/>
      <c r="H109" s="203">
        <v>2.0</v>
      </c>
      <c r="I109" s="204" t="str">
        <f>mround('WEEK 4 '!I106*0.65,5)</f>
        <v>#REF!</v>
      </c>
      <c r="J109" s="204">
        <v>1.0</v>
      </c>
      <c r="K109" s="205" t="s">
        <v>25</v>
      </c>
      <c r="L109" s="57"/>
      <c r="M109" s="58"/>
      <c r="N109" s="861"/>
      <c r="O109" s="861"/>
      <c r="P109" s="861"/>
      <c r="Q109" s="861"/>
      <c r="R109" s="861"/>
      <c r="S109" s="861"/>
      <c r="T109" s="861"/>
      <c r="U109" s="861"/>
    </row>
    <row r="110">
      <c r="A110" s="309">
        <v>2.0</v>
      </c>
      <c r="B110" s="315" t="str">
        <f t="shared" ref="B110:B111" si="4">mround(B109+20,5)</f>
        <v>#REF!</v>
      </c>
      <c r="C110" s="311">
        <v>10.0</v>
      </c>
      <c r="D110" s="312" t="s">
        <v>89</v>
      </c>
      <c r="E110" s="313"/>
      <c r="F110" s="76"/>
      <c r="G110" s="861"/>
      <c r="H110" s="209">
        <v>3.0</v>
      </c>
      <c r="I110" s="204" t="str">
        <f>mround('WEEK 4 '!I106*0.9,5)</f>
        <v>#REF!</v>
      </c>
      <c r="J110" s="73">
        <v>1.0</v>
      </c>
      <c r="K110" s="56" t="s">
        <v>25</v>
      </c>
      <c r="L110" s="57"/>
      <c r="M110" s="58"/>
      <c r="N110" s="861"/>
      <c r="O110" s="861"/>
      <c r="P110" s="861"/>
      <c r="Q110" s="861"/>
      <c r="R110" s="861"/>
      <c r="S110" s="861"/>
      <c r="T110" s="861"/>
      <c r="U110" s="861"/>
    </row>
    <row r="111">
      <c r="A111" s="309">
        <v>3.0</v>
      </c>
      <c r="B111" s="315" t="str">
        <f t="shared" si="4"/>
        <v>#REF!</v>
      </c>
      <c r="C111" s="311">
        <v>10.0</v>
      </c>
      <c r="D111" s="312" t="s">
        <v>89</v>
      </c>
      <c r="E111" s="313"/>
      <c r="F111" s="76"/>
      <c r="G111" s="861"/>
      <c r="H111" s="209">
        <v>4.0</v>
      </c>
      <c r="I111" s="204" t="str">
        <f>'WEEK 4 '!I106</f>
        <v>#REF!</v>
      </c>
      <c r="J111" s="73">
        <v>1.0</v>
      </c>
      <c r="K111" s="56" t="s">
        <v>25</v>
      </c>
      <c r="L111" s="57"/>
      <c r="M111" s="58"/>
      <c r="N111" s="861"/>
      <c r="O111" s="861"/>
      <c r="P111" s="861"/>
      <c r="Q111" s="861"/>
      <c r="R111" s="861"/>
      <c r="S111" s="861"/>
      <c r="T111" s="861"/>
      <c r="U111" s="861"/>
    </row>
    <row r="112">
      <c r="A112" s="309">
        <v>4.0</v>
      </c>
      <c r="B112" s="315" t="str">
        <f t="shared" ref="B112:B113" si="5">mround(B111+10,5)</f>
        <v>#REF!</v>
      </c>
      <c r="C112" s="311">
        <v>10.0</v>
      </c>
      <c r="D112" s="312" t="s">
        <v>89</v>
      </c>
      <c r="E112" s="313"/>
      <c r="F112" s="76"/>
      <c r="G112" s="861"/>
      <c r="H112" s="213" t="s">
        <v>132</v>
      </c>
      <c r="I112" s="11"/>
      <c r="J112" s="11"/>
      <c r="K112" s="11"/>
      <c r="L112" s="11"/>
      <c r="M112" s="86"/>
      <c r="N112" s="861"/>
      <c r="O112" s="861"/>
      <c r="P112" s="861"/>
      <c r="Q112" s="861"/>
      <c r="R112" s="861"/>
      <c r="S112" s="861"/>
      <c r="T112" s="861"/>
      <c r="U112" s="861"/>
    </row>
    <row r="113">
      <c r="A113" s="309">
        <v>5.0</v>
      </c>
      <c r="B113" s="315" t="str">
        <f t="shared" si="5"/>
        <v>#REF!</v>
      </c>
      <c r="C113" s="311">
        <v>10.0</v>
      </c>
      <c r="D113" s="312" t="s">
        <v>89</v>
      </c>
      <c r="E113" s="313"/>
      <c r="F113" s="76"/>
      <c r="G113" s="861"/>
      <c r="H113" s="211" t="str">
        <f>if('WEEK 4 '!M111&lt;1,"",5)</f>
        <v>#REF!</v>
      </c>
      <c r="I113" s="73" t="str">
        <f>IF('WEEK 4 '!M111&lt;1,"",'WEEK 4 '!I111+5)</f>
        <v>#REF!</v>
      </c>
      <c r="J113" s="205" t="str">
        <f>if('WEEK 4 '!M111&lt;1,"",1)</f>
        <v>#REF!</v>
      </c>
      <c r="K113" s="205" t="str">
        <f>if('WEEK 4 '!M111&lt;1,"","1-5 MIN")</f>
        <v>#REF!</v>
      </c>
      <c r="L113" s="217"/>
      <c r="M113" s="58"/>
      <c r="N113" s="861"/>
      <c r="O113" s="861"/>
      <c r="P113" s="861"/>
      <c r="Q113" s="861"/>
      <c r="R113" s="861"/>
      <c r="S113" s="861"/>
      <c r="T113" s="861"/>
      <c r="U113" s="861"/>
    </row>
    <row r="114">
      <c r="A114" s="309">
        <v>6.0</v>
      </c>
      <c r="B114" s="317" t="str">
        <f>B113+10</f>
        <v>#REF!</v>
      </c>
      <c r="C114" s="311">
        <v>10.0</v>
      </c>
      <c r="D114" s="312" t="s">
        <v>89</v>
      </c>
      <c r="E114" s="318"/>
      <c r="F114" s="76"/>
      <c r="G114" s="861"/>
      <c r="H114" s="209" t="str">
        <f>IF('WEEK 4 '!M113&lt;1,"","6")</f>
        <v>#REF!</v>
      </c>
      <c r="I114" s="204" t="str">
        <f>IF('WEEK 4 '!M113&lt;1,"",'WEEK 4 '!I113+5)</f>
        <v>#REF!</v>
      </c>
      <c r="J114" s="212" t="str">
        <f>IF('WEEK 4 '!M113&lt;1,"","1")</f>
        <v>#REF!</v>
      </c>
      <c r="K114" s="54" t="str">
        <f>IF('WEEK 4 '!M113&lt;1,"","1-5 MIN")</f>
        <v>#REF!</v>
      </c>
      <c r="L114" s="225"/>
      <c r="M114" s="642"/>
      <c r="N114" s="861"/>
      <c r="O114" s="861"/>
      <c r="P114" s="861"/>
      <c r="Q114" s="861"/>
      <c r="R114" s="861"/>
      <c r="S114" s="861"/>
      <c r="T114" s="861"/>
      <c r="U114" s="861"/>
    </row>
    <row r="115">
      <c r="A115" s="319">
        <v>7.0</v>
      </c>
      <c r="B115" s="320" t="str">
        <f>mround(B114+10,5)</f>
        <v>#REF!</v>
      </c>
      <c r="C115" s="321">
        <v>10.0</v>
      </c>
      <c r="D115" s="322" t="s">
        <v>89</v>
      </c>
      <c r="E115" s="323"/>
      <c r="F115" s="76"/>
      <c r="G115" s="861"/>
      <c r="H115" s="213" t="s">
        <v>100</v>
      </c>
      <c r="I115" s="11"/>
      <c r="J115" s="11"/>
      <c r="K115" s="11"/>
      <c r="L115" s="11"/>
      <c r="M115" s="86"/>
      <c r="N115" s="861"/>
      <c r="O115" s="861"/>
      <c r="P115" s="861"/>
      <c r="Q115" s="861"/>
      <c r="R115" s="861"/>
      <c r="S115" s="861"/>
      <c r="T115" s="861"/>
      <c r="U115" s="861"/>
    </row>
    <row r="116">
      <c r="A116" s="324" t="s">
        <v>99</v>
      </c>
      <c r="B116" s="325">
        <v>150.0</v>
      </c>
      <c r="C116" s="27"/>
      <c r="D116" s="27"/>
      <c r="E116" s="27"/>
      <c r="F116" s="28"/>
      <c r="G116" s="861"/>
      <c r="H116" s="863">
        <f>IF(M113&gt;=1,7,IF(M111&lt;1,5,6))</f>
        <v>5</v>
      </c>
      <c r="I116" s="232" t="str">
        <f>MROUND('WEEK 4 '!I118*0.9,5)</f>
        <v>#REF!</v>
      </c>
      <c r="J116" s="233" t="s">
        <v>33</v>
      </c>
      <c r="K116" s="234" t="s">
        <v>94</v>
      </c>
      <c r="L116" s="235"/>
      <c r="M116" s="827"/>
      <c r="N116" s="861"/>
      <c r="O116" s="861"/>
      <c r="P116" s="861"/>
      <c r="Q116" s="861"/>
      <c r="R116" s="861"/>
      <c r="S116" s="861"/>
      <c r="T116" s="861"/>
      <c r="U116" s="861"/>
    </row>
    <row r="117">
      <c r="G117" s="861"/>
      <c r="H117" s="209" t="str">
        <f>IF('WEEK 4 '!M113&gt;=1,8,IF('WEEK 4 '!M111&lt;1,6,7))</f>
        <v>#REF!</v>
      </c>
      <c r="I117" s="204" t="str">
        <f>mround('WEEK 4 '!I118*0.78,5)</f>
        <v>#REF!</v>
      </c>
      <c r="J117" s="212" t="s">
        <v>33</v>
      </c>
      <c r="K117" s="56" t="s">
        <v>94</v>
      </c>
      <c r="L117" s="225"/>
      <c r="M117" s="58"/>
      <c r="N117" s="861"/>
      <c r="O117" s="861"/>
      <c r="P117" s="861"/>
      <c r="Q117" s="861"/>
      <c r="R117" s="861"/>
      <c r="S117" s="861"/>
      <c r="T117" s="861"/>
      <c r="U117" s="861"/>
    </row>
    <row r="118">
      <c r="G118" s="861"/>
      <c r="H118" s="239" t="s">
        <v>91</v>
      </c>
      <c r="I118" s="299" t="str">
        <f>IF(OR(ISBLANK('WEEK 4 '!M111),ISBLANK('WEEK 4 '!M110),ISBLANK('WEEK 4 '!M109)),"",IF('WEEK 4 '!M114&gt;=1,'WEEK 4 '!I114,IF('WEEK 4 '!M113&gt;=1,'WEEK 4 '!I113,IF('WEEK 4 '!M111&lt;1,'WEEK 4 '!I111-5,'WEEK 4 '!I111))))</f>
        <v>#REF!</v>
      </c>
      <c r="J118" s="24"/>
      <c r="K118" s="24"/>
      <c r="L118" s="24"/>
      <c r="M118" s="25"/>
      <c r="N118" s="861"/>
      <c r="O118" s="861"/>
      <c r="P118" s="861"/>
      <c r="Q118" s="861"/>
      <c r="R118" s="861"/>
      <c r="S118" s="861"/>
      <c r="T118" s="861"/>
      <c r="U118" s="861"/>
    </row>
    <row r="119">
      <c r="A119" s="864"/>
      <c r="B119" s="864"/>
      <c r="C119" s="864"/>
      <c r="D119" s="864"/>
      <c r="E119" s="865"/>
      <c r="F119" s="573"/>
      <c r="G119" s="861"/>
      <c r="H119" s="861"/>
      <c r="I119" s="861"/>
      <c r="J119" s="861"/>
      <c r="K119" s="861"/>
      <c r="L119" s="861"/>
      <c r="M119" s="861"/>
      <c r="N119" s="861"/>
      <c r="O119" s="861"/>
      <c r="P119" s="861"/>
      <c r="Q119" s="861"/>
      <c r="R119" s="861"/>
      <c r="S119" s="861"/>
      <c r="T119" s="861"/>
      <c r="U119" s="861"/>
    </row>
    <row r="120">
      <c r="A120" s="665" t="str">
        <f>HYPERLINK("https://www.youtube.com/watch?v=XDLQt1j3qUU","2. DUMBBELL REAR DELT FLY ")</f>
        <v>2. DUMBBELL REAR DELT FLY </v>
      </c>
      <c r="B120" s="44"/>
      <c r="C120" s="44"/>
      <c r="D120" s="44"/>
      <c r="E120" s="44"/>
      <c r="F120" s="45"/>
      <c r="G120" s="861"/>
      <c r="H120" s="861"/>
      <c r="I120" s="861"/>
      <c r="J120" s="861"/>
      <c r="K120" s="861"/>
      <c r="L120" s="861"/>
      <c r="M120" s="861"/>
      <c r="N120" s="861"/>
      <c r="O120" s="861"/>
      <c r="P120" s="861"/>
      <c r="Q120" s="861"/>
      <c r="R120" s="861"/>
      <c r="S120" s="861"/>
      <c r="T120" s="861"/>
      <c r="U120" s="861"/>
    </row>
    <row r="121">
      <c r="A121" s="193" t="s">
        <v>116</v>
      </c>
      <c r="B121" s="669" t="str">
        <f>IF('WEEK 4 '!I118="",'WEEK 3 '!B113,'WEEK 4 '!I118)</f>
        <v>#REF!</v>
      </c>
      <c r="C121" s="4"/>
      <c r="D121" s="4"/>
      <c r="E121" s="4"/>
      <c r="F121" s="48"/>
      <c r="G121" s="861"/>
      <c r="H121" s="861"/>
      <c r="I121" s="861"/>
      <c r="J121" s="861"/>
      <c r="K121" s="861"/>
      <c r="L121" s="861"/>
      <c r="M121" s="861"/>
      <c r="N121" s="861"/>
      <c r="O121" s="861"/>
      <c r="P121" s="861"/>
      <c r="Q121" s="861"/>
      <c r="R121" s="861"/>
      <c r="S121" s="861"/>
      <c r="T121" s="861"/>
      <c r="U121" s="861"/>
    </row>
    <row r="122">
      <c r="A122" s="87" t="s">
        <v>18</v>
      </c>
      <c r="B122" s="88" t="s">
        <v>19</v>
      </c>
      <c r="C122" s="88" t="s">
        <v>20</v>
      </c>
      <c r="D122" s="88" t="s">
        <v>21</v>
      </c>
      <c r="E122" s="308" t="s">
        <v>22</v>
      </c>
      <c r="F122" s="202" t="s">
        <v>23</v>
      </c>
      <c r="G122" s="861"/>
      <c r="H122" s="861"/>
      <c r="I122" s="861"/>
      <c r="J122" s="861"/>
      <c r="K122" s="861"/>
      <c r="L122" s="861"/>
      <c r="M122" s="861"/>
      <c r="N122" s="861"/>
      <c r="O122" s="861"/>
      <c r="P122" s="861"/>
      <c r="Q122" s="861"/>
      <c r="R122" s="861"/>
      <c r="S122" s="861"/>
      <c r="T122" s="861"/>
      <c r="U122" s="861"/>
    </row>
    <row r="123">
      <c r="A123" s="532">
        <v>1.0</v>
      </c>
      <c r="B123" s="204" t="str">
        <f>MROUND('WEEK 4 '!B121*0.2,2.5)</f>
        <v>#REF!</v>
      </c>
      <c r="C123" s="56" t="s">
        <v>137</v>
      </c>
      <c r="D123" s="671" t="s">
        <v>94</v>
      </c>
      <c r="E123" s="313"/>
      <c r="F123" s="672"/>
      <c r="G123" s="861"/>
      <c r="H123" s="861"/>
      <c r="I123" s="861"/>
      <c r="J123" s="861"/>
      <c r="K123" s="861"/>
      <c r="L123" s="861"/>
      <c r="M123" s="861"/>
      <c r="N123" s="861"/>
      <c r="O123" s="861"/>
      <c r="P123" s="861"/>
      <c r="Q123" s="861"/>
      <c r="R123" s="861"/>
      <c r="S123" s="861"/>
      <c r="T123" s="861"/>
      <c r="U123" s="861"/>
    </row>
    <row r="124">
      <c r="A124" s="532">
        <v>2.0</v>
      </c>
      <c r="B124" s="204" t="str">
        <f>if('WEEK 4 '!F123&lt;6,mround('WEEK 4 '!B123*0.8,5),IF('WEEK 4 '!F123&lt;=10,MROUND('WEEK 4 '!B123*0.95,5),'WEEK 4 '!B123))</f>
        <v>#REF!</v>
      </c>
      <c r="C124" s="56" t="s">
        <v>138</v>
      </c>
      <c r="D124" s="671" t="s">
        <v>94</v>
      </c>
      <c r="E124" s="313"/>
      <c r="F124" s="672"/>
      <c r="G124" s="861"/>
      <c r="H124" s="861"/>
      <c r="I124" s="861"/>
      <c r="J124" s="861"/>
      <c r="K124" s="861"/>
      <c r="L124" s="861"/>
      <c r="M124" s="861"/>
      <c r="N124" s="861"/>
      <c r="O124" s="861"/>
      <c r="P124" s="861"/>
      <c r="Q124" s="861"/>
      <c r="R124" s="861"/>
      <c r="S124" s="861"/>
      <c r="T124" s="861"/>
      <c r="U124" s="861"/>
    </row>
    <row r="125">
      <c r="A125" s="537">
        <v>3.0</v>
      </c>
      <c r="B125" s="338" t="str">
        <f>if('WEEK 4 '!F124&lt;8,mround('WEEK 4 '!B124*0.8,5),IF('WEEK 4 '!F124&lt;=14,MROUND('WEEK 4 '!B124*0.95,5),'WEEK 4 '!B124))</f>
        <v>#REF!</v>
      </c>
      <c r="C125" s="56" t="s">
        <v>138</v>
      </c>
      <c r="D125" s="772" t="s">
        <v>94</v>
      </c>
      <c r="E125" s="673"/>
      <c r="F125" s="672"/>
      <c r="G125" s="861"/>
      <c r="H125" s="861"/>
      <c r="I125" s="861"/>
      <c r="J125" s="861"/>
      <c r="K125" s="861"/>
      <c r="L125" s="861"/>
      <c r="M125" s="861"/>
      <c r="N125" s="861"/>
      <c r="O125" s="861"/>
      <c r="P125" s="861"/>
      <c r="Q125" s="861"/>
      <c r="R125" s="861"/>
      <c r="S125" s="861"/>
      <c r="T125" s="861"/>
      <c r="U125" s="861"/>
    </row>
    <row r="126">
      <c r="A126" s="615"/>
      <c r="G126" s="861"/>
      <c r="H126" s="861"/>
      <c r="I126" s="861"/>
      <c r="J126" s="861"/>
      <c r="K126" s="861"/>
      <c r="L126" s="861"/>
      <c r="M126" s="861"/>
      <c r="N126" s="861"/>
      <c r="O126" s="861"/>
      <c r="P126" s="861"/>
      <c r="Q126" s="861"/>
      <c r="R126" s="861"/>
      <c r="S126" s="861"/>
      <c r="T126" s="861"/>
      <c r="U126" s="861"/>
    </row>
    <row r="127">
      <c r="G127" s="861"/>
      <c r="H127" s="861"/>
      <c r="I127" s="861"/>
      <c r="J127" s="861"/>
      <c r="K127" s="861"/>
      <c r="L127" s="861"/>
      <c r="M127" s="861"/>
      <c r="N127" s="861"/>
      <c r="O127" s="861"/>
      <c r="P127" s="861"/>
      <c r="Q127" s="861"/>
      <c r="R127" s="861"/>
      <c r="S127" s="861"/>
      <c r="T127" s="861"/>
      <c r="U127" s="861"/>
    </row>
    <row r="128">
      <c r="A128" s="489" t="str">
        <f>HYPERLINK("https://youtu.be/QUNZvtb6mnY","3. DUMBBELL SIDE LATERAL RAISE")</f>
        <v>3. DUMBBELL SIDE LATERAL RAISE</v>
      </c>
      <c r="B128" s="44"/>
      <c r="C128" s="44"/>
      <c r="D128" s="44"/>
      <c r="E128" s="44"/>
      <c r="F128" s="45"/>
      <c r="G128" s="861"/>
      <c r="H128" s="861"/>
      <c r="I128" s="861"/>
      <c r="J128" s="861"/>
      <c r="K128" s="861"/>
      <c r="L128" s="861"/>
      <c r="M128" s="861"/>
      <c r="N128" s="861"/>
      <c r="O128" s="861"/>
      <c r="P128" s="861"/>
      <c r="Q128" s="861"/>
      <c r="R128" s="861"/>
      <c r="S128" s="861"/>
      <c r="T128" s="861"/>
      <c r="U128" s="861"/>
    </row>
    <row r="129">
      <c r="A129" s="193" t="s">
        <v>116</v>
      </c>
      <c r="B129" s="81" t="str">
        <f>IF('WEEK 4 '!I118="",'WEEK 3 '!B131,'WEEK 4 '!I118)</f>
        <v>#REF!</v>
      </c>
      <c r="C129" s="4"/>
      <c r="D129" s="4"/>
      <c r="E129" s="4"/>
      <c r="F129" s="48"/>
      <c r="G129" s="861"/>
      <c r="H129" s="861"/>
      <c r="I129" s="861"/>
      <c r="J129" s="861"/>
      <c r="K129" s="861"/>
      <c r="L129" s="861"/>
      <c r="M129" s="861"/>
      <c r="N129" s="861"/>
      <c r="O129" s="861"/>
      <c r="P129" s="861"/>
      <c r="Q129" s="861"/>
      <c r="R129" s="861"/>
      <c r="S129" s="861"/>
      <c r="T129" s="861"/>
      <c r="U129" s="861"/>
    </row>
    <row r="130">
      <c r="A130" s="343" t="s">
        <v>18</v>
      </c>
      <c r="B130" s="70" t="s">
        <v>19</v>
      </c>
      <c r="C130" s="70" t="s">
        <v>20</v>
      </c>
      <c r="D130" s="70" t="s">
        <v>21</v>
      </c>
      <c r="E130" s="89" t="s">
        <v>22</v>
      </c>
      <c r="F130" s="344" t="s">
        <v>23</v>
      </c>
      <c r="G130" s="861"/>
      <c r="H130" s="861"/>
      <c r="I130" s="861"/>
      <c r="J130" s="861"/>
      <c r="K130" s="861"/>
      <c r="L130" s="861"/>
      <c r="M130" s="861"/>
      <c r="N130" s="861"/>
      <c r="O130" s="861"/>
      <c r="P130" s="861"/>
      <c r="Q130" s="861"/>
      <c r="R130" s="861"/>
      <c r="S130" s="861"/>
      <c r="T130" s="861"/>
      <c r="U130" s="861"/>
    </row>
    <row r="131">
      <c r="A131" s="72">
        <v>1.0</v>
      </c>
      <c r="B131" s="73" t="str">
        <f>mround('WEEK 4 '!B129*0.2,5)</f>
        <v>#REF!</v>
      </c>
      <c r="C131" s="54" t="s">
        <v>29</v>
      </c>
      <c r="D131" s="74" t="s">
        <v>25</v>
      </c>
      <c r="E131" s="345"/>
      <c r="F131" s="774"/>
      <c r="G131" s="861"/>
      <c r="H131" s="861"/>
      <c r="I131" s="861"/>
      <c r="J131" s="861"/>
      <c r="K131" s="861"/>
      <c r="L131" s="861"/>
      <c r="M131" s="861"/>
      <c r="N131" s="861"/>
      <c r="O131" s="861"/>
      <c r="P131" s="861"/>
      <c r="Q131" s="861"/>
      <c r="R131" s="861"/>
      <c r="S131" s="861"/>
      <c r="T131" s="861"/>
      <c r="U131" s="861"/>
    </row>
    <row r="132">
      <c r="A132" s="72">
        <v>2.0</v>
      </c>
      <c r="B132" s="73" t="str">
        <f>if('WEEK 4 '!F131&lt;12,mround('WEEK 4 '!B129*0.15,2.5),'WEEK 4 '!B131)</f>
        <v>#REF!</v>
      </c>
      <c r="C132" s="54" t="s">
        <v>29</v>
      </c>
      <c r="D132" s="74" t="s">
        <v>25</v>
      </c>
      <c r="E132" s="345"/>
      <c r="F132" s="297"/>
      <c r="G132" s="861"/>
      <c r="H132" s="861"/>
      <c r="I132" s="861"/>
      <c r="J132" s="861"/>
      <c r="K132" s="861"/>
      <c r="L132" s="861"/>
      <c r="M132" s="861"/>
      <c r="N132" s="861"/>
      <c r="O132" s="861"/>
      <c r="P132" s="861"/>
      <c r="Q132" s="861"/>
      <c r="R132" s="861"/>
      <c r="S132" s="861"/>
      <c r="T132" s="861"/>
      <c r="U132" s="861"/>
    </row>
    <row r="133">
      <c r="A133" s="77">
        <v>3.0</v>
      </c>
      <c r="B133" s="78" t="str">
        <f>if('WEEK 4 '!F132&lt;12,mround('WEEK 4 '!B129*0.1,2.5),'WEEK 4 '!B132)</f>
        <v>#REF!</v>
      </c>
      <c r="C133" s="54" t="s">
        <v>29</v>
      </c>
      <c r="D133" s="79" t="s">
        <v>25</v>
      </c>
      <c r="E133" s="346"/>
      <c r="F133" s="76"/>
      <c r="G133" s="861"/>
      <c r="H133" s="861"/>
      <c r="I133" s="861"/>
      <c r="J133" s="861"/>
      <c r="K133" s="861"/>
      <c r="L133" s="861"/>
      <c r="M133" s="861"/>
      <c r="N133" s="861"/>
      <c r="O133" s="861"/>
      <c r="P133" s="861"/>
      <c r="Q133" s="861"/>
      <c r="R133" s="861"/>
      <c r="S133" s="861"/>
      <c r="T133" s="861"/>
      <c r="U133" s="861"/>
    </row>
    <row r="134">
      <c r="A134" s="615"/>
      <c r="G134" s="861"/>
      <c r="H134" s="861"/>
      <c r="I134" s="861"/>
      <c r="J134" s="861"/>
      <c r="K134" s="861"/>
      <c r="L134" s="861"/>
      <c r="M134" s="861"/>
      <c r="N134" s="861"/>
      <c r="O134" s="861"/>
      <c r="P134" s="861"/>
      <c r="Q134" s="861"/>
      <c r="R134" s="861"/>
      <c r="S134" s="861"/>
      <c r="T134" s="861"/>
      <c r="U134" s="861"/>
    </row>
    <row r="135">
      <c r="G135" s="861"/>
      <c r="H135" s="861"/>
      <c r="I135" s="861"/>
      <c r="J135" s="861"/>
      <c r="K135" s="861"/>
      <c r="L135" s="861"/>
      <c r="M135" s="861"/>
      <c r="N135" s="861"/>
      <c r="O135" s="861"/>
      <c r="P135" s="861"/>
      <c r="Q135" s="861"/>
      <c r="R135" s="861"/>
      <c r="S135" s="861"/>
      <c r="T135" s="861"/>
      <c r="U135" s="861"/>
    </row>
    <row r="136">
      <c r="A136" s="328" t="str">
        <f>HYPERLINK("https://www.youtube.com/watch?v=Zt0LwrUdpNs","2.  TRICEP OVERHEAD ROPE EXTENSION")</f>
        <v>2.  TRICEP OVERHEAD ROPE EXTENSION</v>
      </c>
      <c r="B136" s="44"/>
      <c r="C136" s="44"/>
      <c r="D136" s="44"/>
      <c r="E136" s="44"/>
      <c r="F136" s="45"/>
      <c r="G136" s="861"/>
      <c r="H136" s="861"/>
      <c r="I136" s="861"/>
      <c r="J136" s="861"/>
      <c r="K136" s="861"/>
      <c r="L136" s="861"/>
      <c r="M136" s="861"/>
      <c r="N136" s="861"/>
      <c r="O136" s="861"/>
      <c r="P136" s="861"/>
      <c r="Q136" s="861"/>
      <c r="R136" s="861"/>
      <c r="S136" s="861"/>
      <c r="T136" s="861"/>
      <c r="U136" s="861"/>
    </row>
    <row r="137">
      <c r="A137" s="193" t="s">
        <v>86</v>
      </c>
      <c r="B137" s="67" t="str">
        <f>'WEEK 3 '!B139</f>
        <v>#REF!</v>
      </c>
      <c r="C137" s="4"/>
      <c r="D137" s="4"/>
      <c r="E137" s="4"/>
      <c r="F137" s="48"/>
      <c r="G137" s="861"/>
      <c r="H137" s="861"/>
      <c r="I137" s="861"/>
      <c r="J137" s="861"/>
      <c r="K137" s="861"/>
      <c r="L137" s="861"/>
      <c r="M137" s="861"/>
      <c r="N137" s="861"/>
      <c r="O137" s="861"/>
      <c r="P137" s="861"/>
      <c r="Q137" s="861"/>
      <c r="R137" s="861"/>
      <c r="S137" s="861"/>
      <c r="T137" s="861"/>
      <c r="U137" s="861"/>
    </row>
    <row r="138">
      <c r="A138" s="68" t="s">
        <v>18</v>
      </c>
      <c r="B138" s="69" t="s">
        <v>19</v>
      </c>
      <c r="C138" s="69" t="s">
        <v>20</v>
      </c>
      <c r="D138" s="69" t="s">
        <v>21</v>
      </c>
      <c r="E138" s="71" t="s">
        <v>22</v>
      </c>
      <c r="F138" s="202" t="s">
        <v>23</v>
      </c>
      <c r="G138" s="861"/>
      <c r="H138" s="861"/>
      <c r="I138" s="861"/>
      <c r="J138" s="861"/>
      <c r="K138" s="861"/>
      <c r="L138" s="861"/>
      <c r="M138" s="861"/>
      <c r="N138" s="861"/>
      <c r="O138" s="861"/>
      <c r="P138" s="861"/>
      <c r="Q138" s="861"/>
      <c r="R138" s="861"/>
      <c r="S138" s="861"/>
      <c r="T138" s="861"/>
      <c r="U138" s="861"/>
    </row>
    <row r="139">
      <c r="A139" s="72">
        <v>1.0</v>
      </c>
      <c r="B139" s="73" t="str">
        <f>'WEEK 4 '!B137</f>
        <v>#REF!</v>
      </c>
      <c r="C139" s="56" t="s">
        <v>29</v>
      </c>
      <c r="D139" s="74" t="s">
        <v>26</v>
      </c>
      <c r="E139" s="75" t="str">
        <f t="shared" ref="E139:E141" si="6">IF('WEEK 1 '!B142=B139,'WEEK 1 '!F142,"")</f>
        <v>#REF!</v>
      </c>
      <c r="F139" s="76"/>
      <c r="G139" s="861"/>
      <c r="H139" s="861"/>
      <c r="I139" s="861"/>
      <c r="J139" s="861"/>
      <c r="K139" s="861"/>
      <c r="L139" s="861"/>
      <c r="M139" s="861"/>
      <c r="N139" s="861"/>
      <c r="O139" s="861"/>
      <c r="P139" s="861"/>
      <c r="Q139" s="861"/>
      <c r="R139" s="861"/>
      <c r="S139" s="861"/>
      <c r="T139" s="861"/>
      <c r="U139" s="861"/>
    </row>
    <row r="140">
      <c r="A140" s="72">
        <v>2.0</v>
      </c>
      <c r="B140" s="73" t="str">
        <f>if('WEEK 4 '!F139&lt;10,mround('WEEK 4 '!B139*0.8,5),IF('WEEK 4 '!F139&lt;=14,MROUND('WEEK 4 '!B137*0.95,5),'WEEK 4 '!B139))</f>
        <v>#REF!</v>
      </c>
      <c r="C140" s="56" t="s">
        <v>29</v>
      </c>
      <c r="D140" s="74" t="s">
        <v>26</v>
      </c>
      <c r="E140" s="75" t="str">
        <f t="shared" si="6"/>
        <v>#REF!</v>
      </c>
      <c r="F140" s="76"/>
      <c r="G140" s="861"/>
      <c r="H140" s="861"/>
      <c r="I140" s="861"/>
      <c r="J140" s="861"/>
      <c r="K140" s="861"/>
      <c r="L140" s="861"/>
      <c r="M140" s="861"/>
      <c r="N140" s="861"/>
      <c r="O140" s="861"/>
      <c r="P140" s="861"/>
      <c r="Q140" s="861"/>
      <c r="R140" s="861"/>
      <c r="S140" s="861"/>
      <c r="T140" s="861"/>
      <c r="U140" s="861"/>
    </row>
    <row r="141">
      <c r="A141" s="604">
        <v>3.0</v>
      </c>
      <c r="B141" s="73" t="str">
        <f>if('WEEK 4 '!F140&lt;10,mround('WEEK 4 '!B140*0.8,5),IF('WEEK 4 '!F140&lt;=14,MROUND('WEEK 4 '!B140*0.95,5),'WEEK 4 '!B140))</f>
        <v>#REF!</v>
      </c>
      <c r="C141" s="56" t="s">
        <v>29</v>
      </c>
      <c r="D141" s="295" t="s">
        <v>26</v>
      </c>
      <c r="E141" s="607" t="str">
        <f t="shared" si="6"/>
        <v>#REF!</v>
      </c>
      <c r="F141" s="297"/>
      <c r="G141" s="861"/>
      <c r="H141" s="861"/>
      <c r="I141" s="861"/>
      <c r="J141" s="861"/>
      <c r="K141" s="861"/>
      <c r="L141" s="861"/>
      <c r="M141" s="861"/>
      <c r="N141" s="861"/>
      <c r="O141" s="861"/>
      <c r="P141" s="861"/>
      <c r="Q141" s="861"/>
      <c r="R141" s="861"/>
      <c r="S141" s="861"/>
      <c r="T141" s="861"/>
      <c r="U141" s="861"/>
    </row>
    <row r="142">
      <c r="A142" s="573"/>
      <c r="G142" s="861"/>
      <c r="H142" s="861"/>
      <c r="I142" s="861"/>
      <c r="J142" s="861"/>
      <c r="K142" s="861"/>
      <c r="L142" s="861"/>
      <c r="M142" s="861"/>
      <c r="N142" s="861"/>
      <c r="O142" s="861"/>
      <c r="P142" s="861"/>
      <c r="Q142" s="861"/>
      <c r="R142" s="861"/>
      <c r="S142" s="861"/>
      <c r="T142" s="861"/>
      <c r="U142" s="861"/>
    </row>
    <row r="143">
      <c r="G143" s="861"/>
      <c r="H143" s="861"/>
      <c r="I143" s="861"/>
      <c r="J143" s="861"/>
      <c r="K143" s="861"/>
      <c r="L143" s="861"/>
      <c r="M143" s="861"/>
      <c r="N143" s="861"/>
      <c r="O143" s="861"/>
      <c r="P143" s="861"/>
      <c r="Q143" s="861"/>
      <c r="R143" s="861"/>
      <c r="S143" s="861"/>
      <c r="T143" s="861"/>
      <c r="U143" s="861"/>
    </row>
    <row r="144">
      <c r="A144" s="104" t="str">
        <f>HYPERLINK("https://www.youtube.com/watch?v=TorWpKwLCSg","5. ALTERNATING BICEP CURLS ")</f>
        <v>5. ALTERNATING BICEP CURLS </v>
      </c>
      <c r="B144" s="44"/>
      <c r="C144" s="44"/>
      <c r="D144" s="44"/>
      <c r="E144" s="44"/>
      <c r="F144" s="45"/>
      <c r="G144" s="861"/>
      <c r="H144" s="861"/>
      <c r="I144" s="861"/>
      <c r="J144" s="861"/>
      <c r="K144" s="861"/>
      <c r="L144" s="861"/>
      <c r="M144" s="861"/>
      <c r="N144" s="861"/>
      <c r="O144" s="861"/>
      <c r="P144" s="861"/>
      <c r="Q144" s="861"/>
      <c r="R144" s="861"/>
      <c r="S144" s="861"/>
      <c r="T144" s="861"/>
      <c r="U144" s="861"/>
    </row>
    <row r="145">
      <c r="A145" s="193" t="s">
        <v>86</v>
      </c>
      <c r="B145" s="67" t="str">
        <f>'DETERMINING MAX WEEK'!E193</f>
        <v>#REF!</v>
      </c>
      <c r="C145" s="4"/>
      <c r="D145" s="4"/>
      <c r="E145" s="4"/>
      <c r="F145" s="48"/>
      <c r="G145" s="861"/>
      <c r="H145" s="861"/>
      <c r="I145" s="861"/>
      <c r="J145" s="861"/>
      <c r="K145" s="861"/>
      <c r="L145" s="861"/>
      <c r="M145" s="861"/>
      <c r="N145" s="861"/>
      <c r="O145" s="861"/>
      <c r="P145" s="861"/>
      <c r="Q145" s="861"/>
      <c r="R145" s="861"/>
      <c r="S145" s="861"/>
      <c r="T145" s="861"/>
      <c r="U145" s="861"/>
    </row>
    <row r="146">
      <c r="A146" s="68" t="s">
        <v>18</v>
      </c>
      <c r="B146" s="69" t="s">
        <v>19</v>
      </c>
      <c r="C146" s="69" t="s">
        <v>20</v>
      </c>
      <c r="D146" s="69" t="s">
        <v>21</v>
      </c>
      <c r="E146" s="71" t="s">
        <v>22</v>
      </c>
      <c r="F146" s="202" t="s">
        <v>23</v>
      </c>
      <c r="G146" s="861"/>
      <c r="H146" s="861"/>
      <c r="I146" s="861"/>
      <c r="J146" s="861"/>
      <c r="K146" s="861"/>
      <c r="L146" s="861"/>
      <c r="M146" s="861"/>
      <c r="N146" s="861"/>
      <c r="O146" s="861"/>
      <c r="P146" s="861"/>
      <c r="Q146" s="861"/>
      <c r="R146" s="861"/>
      <c r="S146" s="861"/>
      <c r="T146" s="861"/>
      <c r="U146" s="861"/>
    </row>
    <row r="147">
      <c r="A147" s="72">
        <v>1.0</v>
      </c>
      <c r="B147" s="73" t="str">
        <f>MROUND('WEEK 4 '!B145,10)</f>
        <v>#REF!</v>
      </c>
      <c r="C147" s="56" t="s">
        <v>29</v>
      </c>
      <c r="D147" s="74" t="s">
        <v>26</v>
      </c>
      <c r="E147" s="75"/>
      <c r="F147" s="76"/>
      <c r="G147" s="861"/>
      <c r="H147" s="861"/>
      <c r="I147" s="861"/>
      <c r="J147" s="861"/>
      <c r="K147" s="861"/>
      <c r="L147" s="861"/>
      <c r="M147" s="861"/>
      <c r="N147" s="861"/>
      <c r="O147" s="861"/>
      <c r="P147" s="861"/>
      <c r="Q147" s="861"/>
      <c r="R147" s="861"/>
      <c r="S147" s="861"/>
      <c r="T147" s="861"/>
      <c r="U147" s="861"/>
    </row>
    <row r="148">
      <c r="A148" s="72">
        <v>2.0</v>
      </c>
      <c r="B148" s="73" t="str">
        <f t="shared" ref="B148:B149" si="7">if('WEEK 4 '!F147&lt;15,mround('WEEK 4 '!B147*0.8,5),IF('WEEK 4 '!F147&lt;=18,MROUND('WEEK 4 '!B145*0.95,5),'WEEK 4 '!B147))</f>
        <v>#REF!</v>
      </c>
      <c r="C148" s="56" t="s">
        <v>29</v>
      </c>
      <c r="D148" s="74" t="s">
        <v>26</v>
      </c>
      <c r="E148" s="75"/>
      <c r="F148" s="76"/>
      <c r="G148" s="861"/>
      <c r="H148" s="861"/>
      <c r="I148" s="861"/>
      <c r="J148" s="861"/>
      <c r="K148" s="861"/>
      <c r="L148" s="861"/>
      <c r="M148" s="861"/>
      <c r="N148" s="861"/>
      <c r="O148" s="861"/>
      <c r="P148" s="861"/>
      <c r="Q148" s="861"/>
      <c r="R148" s="861"/>
      <c r="S148" s="861"/>
      <c r="T148" s="861"/>
      <c r="U148" s="861"/>
    </row>
    <row r="149">
      <c r="A149" s="604">
        <v>3.0</v>
      </c>
      <c r="B149" s="605" t="str">
        <f t="shared" si="7"/>
        <v>#REF!</v>
      </c>
      <c r="C149" s="606" t="s">
        <v>29</v>
      </c>
      <c r="D149" s="295" t="s">
        <v>26</v>
      </c>
      <c r="E149" s="607"/>
      <c r="F149" s="297"/>
      <c r="G149" s="861"/>
      <c r="H149" s="861"/>
      <c r="I149" s="861"/>
      <c r="J149" s="861"/>
      <c r="K149" s="861"/>
      <c r="L149" s="861"/>
      <c r="M149" s="861"/>
      <c r="N149" s="861"/>
      <c r="O149" s="861"/>
      <c r="P149" s="861"/>
      <c r="Q149" s="861"/>
      <c r="R149" s="861"/>
      <c r="S149" s="861"/>
      <c r="T149" s="861"/>
      <c r="U149" s="861"/>
    </row>
    <row r="150">
      <c r="A150" s="608"/>
      <c r="B150" s="608"/>
      <c r="C150" s="608"/>
      <c r="D150" s="608"/>
      <c r="E150" s="608"/>
      <c r="F150" s="608"/>
      <c r="G150" s="861"/>
      <c r="H150" s="861"/>
      <c r="I150" s="861"/>
      <c r="J150" s="861"/>
      <c r="K150" s="861"/>
      <c r="L150" s="861"/>
      <c r="M150" s="861"/>
      <c r="N150" s="861"/>
      <c r="O150" s="861"/>
      <c r="P150" s="861"/>
      <c r="Q150" s="861"/>
      <c r="R150" s="861"/>
      <c r="S150" s="861"/>
      <c r="T150" s="861"/>
      <c r="U150" s="861"/>
    </row>
    <row r="151">
      <c r="A151" s="573"/>
      <c r="G151" s="861"/>
      <c r="H151" s="861"/>
      <c r="I151" s="861"/>
      <c r="J151" s="861"/>
      <c r="K151" s="861"/>
      <c r="L151" s="861"/>
      <c r="M151" s="861"/>
      <c r="N151" s="861"/>
      <c r="O151" s="861"/>
      <c r="P151" s="861"/>
      <c r="Q151" s="861"/>
      <c r="R151" s="861"/>
      <c r="S151" s="861"/>
      <c r="T151" s="861"/>
      <c r="U151" s="861"/>
    </row>
    <row r="152">
      <c r="A152" s="866" t="str">
        <f>HYPERLINK("https://docs.google.com/a/fitnessresults.com/forms/d/e/1FAIpQLSd7MoczESe8Yjv6BKpmwAZGn9Aiymrs9-UdgfYIUpbr9t5NXg/viewform?usp=pp_url&amp;entry.93370101","CLICK TO COMPLETE WORKOUT")</f>
        <v>CLICK TO COMPLETE WORKOUT</v>
      </c>
      <c r="B152" s="2"/>
      <c r="C152" s="2"/>
      <c r="D152" s="2"/>
      <c r="E152" s="2"/>
      <c r="F152" s="37"/>
      <c r="G152" s="861"/>
      <c r="H152" s="861"/>
      <c r="I152" s="861"/>
      <c r="J152" s="861"/>
      <c r="K152" s="861"/>
      <c r="L152" s="861"/>
      <c r="M152" s="861"/>
      <c r="N152" s="861"/>
      <c r="O152" s="861"/>
      <c r="P152" s="861"/>
      <c r="Q152" s="861"/>
      <c r="R152" s="861"/>
      <c r="S152" s="861"/>
      <c r="T152" s="861"/>
      <c r="U152" s="861"/>
    </row>
    <row r="153">
      <c r="A153" s="573"/>
      <c r="B153" s="573"/>
      <c r="C153" s="573"/>
      <c r="D153" s="573"/>
      <c r="E153" s="573"/>
      <c r="F153" s="573"/>
      <c r="G153" s="861"/>
      <c r="H153" s="861"/>
      <c r="I153" s="861"/>
      <c r="J153" s="861"/>
      <c r="K153" s="861"/>
      <c r="L153" s="861"/>
      <c r="M153" s="861"/>
      <c r="N153" s="861"/>
      <c r="O153" s="861"/>
      <c r="P153" s="861"/>
      <c r="Q153" s="861"/>
      <c r="R153" s="861"/>
      <c r="S153" s="861"/>
      <c r="T153" s="861"/>
      <c r="U153" s="861"/>
    </row>
    <row r="154">
      <c r="A154" s="614" t="s">
        <v>102</v>
      </c>
      <c r="B154" s="27"/>
      <c r="C154" s="27"/>
      <c r="D154" s="27"/>
      <c r="E154" s="27"/>
      <c r="F154" s="28"/>
      <c r="G154" s="861"/>
      <c r="H154" s="861"/>
      <c r="I154" s="861"/>
      <c r="J154" s="861"/>
      <c r="K154" s="861"/>
      <c r="L154" s="861"/>
      <c r="M154" s="861"/>
      <c r="N154" s="861"/>
      <c r="O154" s="861"/>
      <c r="P154" s="861"/>
      <c r="Q154" s="861"/>
      <c r="R154" s="861"/>
      <c r="S154" s="861"/>
      <c r="T154" s="861"/>
      <c r="U154" s="861"/>
    </row>
    <row r="155">
      <c r="A155" s="867"/>
      <c r="G155" s="861"/>
      <c r="H155" s="861"/>
      <c r="I155" s="861"/>
      <c r="J155" s="861"/>
      <c r="K155" s="861"/>
      <c r="L155" s="861"/>
      <c r="M155" s="861"/>
      <c r="N155" s="861"/>
      <c r="O155" s="861"/>
      <c r="P155" s="861"/>
      <c r="Q155" s="861"/>
      <c r="R155" s="861"/>
      <c r="S155" s="861"/>
      <c r="T155" s="861"/>
      <c r="U155" s="861"/>
    </row>
    <row r="156">
      <c r="A156" s="868" t="str">
        <f>HYPERLINK("https://www.amazon.com/30-Minute-Body-Investment-Champion/dp/0692791892/ref=sr_1_1?ie=UTF8&amp;qid=1490447969&amp;sr=8-1&amp;keywords=30+minute+body","WANT TO LEARN MORE?")</f>
        <v>WANT TO LEARN MORE?</v>
      </c>
      <c r="B156" s="7"/>
      <c r="C156" s="7"/>
      <c r="D156" s="7"/>
      <c r="E156" s="7"/>
      <c r="F156" s="8"/>
      <c r="G156" s="861"/>
      <c r="H156" s="861"/>
      <c r="I156" s="861"/>
      <c r="J156" s="861"/>
      <c r="K156" s="861"/>
      <c r="L156" s="861"/>
      <c r="M156" s="861"/>
      <c r="N156" s="861"/>
      <c r="O156" s="861"/>
      <c r="P156" s="861"/>
      <c r="Q156" s="861"/>
      <c r="R156" s="861"/>
      <c r="S156" s="861"/>
      <c r="T156" s="861"/>
      <c r="U156" s="861"/>
    </row>
    <row r="157">
      <c r="A157" s="9"/>
      <c r="B157" s="4"/>
      <c r="C157" s="4"/>
      <c r="D157" s="4"/>
      <c r="E157" s="4"/>
      <c r="F157" s="5"/>
      <c r="G157" s="861"/>
      <c r="H157" s="861"/>
      <c r="I157" s="861"/>
      <c r="J157" s="861"/>
      <c r="K157" s="861"/>
      <c r="L157" s="861"/>
      <c r="M157" s="861"/>
      <c r="N157" s="861"/>
      <c r="O157" s="861"/>
      <c r="P157" s="861"/>
      <c r="Q157" s="861"/>
      <c r="R157" s="861"/>
      <c r="S157" s="861"/>
      <c r="T157" s="861"/>
      <c r="U157" s="861"/>
    </row>
    <row r="158">
      <c r="A158" s="869"/>
      <c r="B158" s="870"/>
      <c r="C158" s="619" t="s">
        <v>35</v>
      </c>
      <c r="D158" s="16"/>
      <c r="E158" s="16"/>
      <c r="F158" s="17"/>
      <c r="G158" s="861"/>
      <c r="H158" s="861"/>
      <c r="I158" s="861"/>
      <c r="J158" s="861"/>
      <c r="K158" s="861"/>
      <c r="L158" s="861"/>
      <c r="M158" s="861"/>
      <c r="N158" s="861"/>
      <c r="O158" s="861"/>
      <c r="P158" s="861"/>
      <c r="Q158" s="861"/>
      <c r="R158" s="861"/>
      <c r="S158" s="861"/>
      <c r="T158" s="861"/>
      <c r="U158" s="861"/>
    </row>
    <row r="159">
      <c r="A159" s="871"/>
      <c r="B159" s="872"/>
      <c r="C159" s="505"/>
      <c r="F159" s="19"/>
      <c r="G159" s="861"/>
      <c r="H159" s="861"/>
      <c r="I159" s="861"/>
      <c r="J159" s="861"/>
      <c r="K159" s="861"/>
      <c r="L159" s="861"/>
      <c r="M159" s="861"/>
      <c r="N159" s="861"/>
      <c r="O159" s="861"/>
      <c r="P159" s="861"/>
      <c r="Q159" s="861"/>
      <c r="R159" s="861"/>
      <c r="S159" s="861"/>
      <c r="T159" s="861"/>
      <c r="U159" s="861"/>
    </row>
    <row r="160">
      <c r="A160" s="871"/>
      <c r="B160" s="872"/>
      <c r="C160" s="505"/>
      <c r="F160" s="19"/>
      <c r="G160" s="861"/>
      <c r="H160" s="861"/>
      <c r="I160" s="861"/>
      <c r="J160" s="861"/>
      <c r="K160" s="861"/>
      <c r="L160" s="861"/>
      <c r="M160" s="861"/>
      <c r="N160" s="861"/>
      <c r="O160" s="861"/>
      <c r="P160" s="861"/>
      <c r="Q160" s="861"/>
      <c r="R160" s="861"/>
      <c r="S160" s="861"/>
      <c r="T160" s="861"/>
      <c r="U160" s="861"/>
    </row>
    <row r="161">
      <c r="A161" s="871"/>
      <c r="B161" s="872"/>
      <c r="C161" s="505"/>
      <c r="F161" s="19"/>
      <c r="G161" s="861"/>
      <c r="H161" s="861"/>
      <c r="I161" s="861"/>
      <c r="J161" s="861"/>
      <c r="K161" s="861"/>
      <c r="L161" s="861"/>
      <c r="M161" s="861"/>
      <c r="N161" s="861"/>
      <c r="O161" s="861"/>
      <c r="P161" s="861"/>
      <c r="Q161" s="861"/>
      <c r="R161" s="861"/>
      <c r="S161" s="861"/>
      <c r="T161" s="861"/>
      <c r="U161" s="861"/>
    </row>
    <row r="162">
      <c r="A162" s="871"/>
      <c r="B162" s="872"/>
      <c r="C162" s="505"/>
      <c r="F162" s="19"/>
      <c r="G162" s="861"/>
      <c r="H162" s="861"/>
      <c r="I162" s="861"/>
      <c r="J162" s="861"/>
      <c r="K162" s="861"/>
      <c r="L162" s="861"/>
      <c r="M162" s="861"/>
      <c r="N162" s="861"/>
      <c r="O162" s="861"/>
      <c r="P162" s="861"/>
      <c r="Q162" s="861"/>
      <c r="R162" s="861"/>
      <c r="S162" s="861"/>
      <c r="T162" s="861"/>
      <c r="U162" s="861"/>
    </row>
    <row r="163">
      <c r="A163" s="871"/>
      <c r="B163" s="872"/>
      <c r="C163" s="505"/>
      <c r="F163" s="19"/>
      <c r="G163" s="861"/>
      <c r="H163" s="861"/>
      <c r="I163" s="861"/>
      <c r="J163" s="861"/>
      <c r="K163" s="861"/>
      <c r="L163" s="861"/>
      <c r="M163" s="861"/>
      <c r="N163" s="861"/>
      <c r="O163" s="861"/>
      <c r="P163" s="861"/>
      <c r="Q163" s="861"/>
      <c r="R163" s="861"/>
      <c r="S163" s="861"/>
      <c r="T163" s="861"/>
      <c r="U163" s="861"/>
    </row>
    <row r="164">
      <c r="A164" s="873"/>
      <c r="B164" s="872"/>
      <c r="C164" s="505"/>
      <c r="F164" s="19"/>
      <c r="G164" s="861"/>
      <c r="H164" s="861"/>
      <c r="I164" s="861"/>
      <c r="J164" s="861"/>
      <c r="K164" s="861"/>
      <c r="L164" s="861"/>
      <c r="M164" s="861"/>
      <c r="N164" s="861"/>
      <c r="O164" s="861"/>
      <c r="P164" s="861"/>
      <c r="Q164" s="861"/>
      <c r="R164" s="861"/>
      <c r="S164" s="861"/>
      <c r="T164" s="861"/>
      <c r="U164" s="861"/>
    </row>
    <row r="165">
      <c r="A165" s="871"/>
      <c r="B165" s="872"/>
      <c r="C165" s="505"/>
      <c r="F165" s="19"/>
      <c r="G165" s="861"/>
      <c r="H165" s="861"/>
      <c r="I165" s="861"/>
      <c r="J165" s="861"/>
      <c r="K165" s="861"/>
      <c r="L165" s="861"/>
      <c r="M165" s="861"/>
      <c r="N165" s="861"/>
      <c r="O165" s="861"/>
      <c r="P165" s="861"/>
      <c r="Q165" s="861"/>
      <c r="R165" s="861"/>
      <c r="S165" s="861"/>
      <c r="T165" s="861"/>
      <c r="U165" s="861"/>
    </row>
    <row r="166">
      <c r="A166" s="871"/>
      <c r="B166" s="872"/>
      <c r="C166" s="505"/>
      <c r="F166" s="19"/>
      <c r="G166" s="861"/>
      <c r="H166" s="861"/>
      <c r="I166" s="861"/>
      <c r="J166" s="861"/>
      <c r="K166" s="861"/>
      <c r="L166" s="861"/>
      <c r="M166" s="861"/>
      <c r="N166" s="861"/>
      <c r="O166" s="861"/>
      <c r="P166" s="861"/>
      <c r="Q166" s="861"/>
      <c r="R166" s="861"/>
      <c r="S166" s="861"/>
      <c r="T166" s="861"/>
      <c r="U166" s="861"/>
    </row>
    <row r="167">
      <c r="A167" s="874"/>
      <c r="B167" s="872"/>
      <c r="C167" s="505"/>
      <c r="F167" s="19"/>
      <c r="G167" s="861"/>
      <c r="H167" s="861"/>
      <c r="I167" s="861"/>
      <c r="J167" s="861"/>
      <c r="K167" s="861"/>
      <c r="L167" s="861"/>
      <c r="M167" s="861"/>
      <c r="N167" s="861"/>
      <c r="O167" s="861"/>
      <c r="P167" s="861"/>
      <c r="Q167" s="861"/>
      <c r="R167" s="861"/>
      <c r="S167" s="861"/>
      <c r="T167" s="861"/>
      <c r="U167" s="861"/>
    </row>
    <row r="168">
      <c r="A168" s="871"/>
      <c r="B168" s="872"/>
      <c r="C168" s="505"/>
      <c r="F168" s="19"/>
      <c r="G168" s="861"/>
      <c r="H168" s="861"/>
      <c r="I168" s="861"/>
      <c r="J168" s="861"/>
      <c r="K168" s="861"/>
      <c r="L168" s="861"/>
      <c r="M168" s="861"/>
      <c r="N168" s="861"/>
      <c r="O168" s="861"/>
      <c r="P168" s="861"/>
      <c r="Q168" s="861"/>
      <c r="R168" s="861"/>
      <c r="S168" s="861"/>
      <c r="T168" s="861"/>
      <c r="U168" s="861"/>
    </row>
    <row r="169">
      <c r="A169" s="871"/>
      <c r="B169" s="872"/>
      <c r="C169" s="505"/>
      <c r="F169" s="19"/>
      <c r="G169" s="861"/>
      <c r="H169" s="861"/>
      <c r="I169" s="861"/>
      <c r="J169" s="861"/>
      <c r="K169" s="861"/>
      <c r="L169" s="861"/>
      <c r="M169" s="861"/>
      <c r="N169" s="861"/>
      <c r="O169" s="861"/>
      <c r="P169" s="861"/>
      <c r="Q169" s="861"/>
      <c r="R169" s="861"/>
      <c r="S169" s="861"/>
      <c r="T169" s="861"/>
      <c r="U169" s="861"/>
    </row>
    <row r="170">
      <c r="A170" s="871"/>
      <c r="B170" s="872"/>
      <c r="C170" s="505"/>
      <c r="F170" s="19"/>
      <c r="G170" s="861"/>
      <c r="H170" s="861"/>
      <c r="I170" s="861"/>
      <c r="J170" s="861"/>
      <c r="K170" s="861"/>
      <c r="L170" s="861"/>
      <c r="M170" s="861"/>
      <c r="N170" s="861"/>
      <c r="O170" s="861"/>
      <c r="P170" s="861"/>
      <c r="Q170" s="861"/>
      <c r="R170" s="861"/>
      <c r="S170" s="861"/>
      <c r="T170" s="861"/>
      <c r="U170" s="861"/>
    </row>
    <row r="171">
      <c r="A171" s="871"/>
      <c r="B171" s="872"/>
      <c r="C171" s="505"/>
      <c r="F171" s="19"/>
      <c r="G171" s="861"/>
      <c r="H171" s="861"/>
      <c r="I171" s="861"/>
      <c r="J171" s="861"/>
      <c r="K171" s="861"/>
      <c r="L171" s="861"/>
      <c r="M171" s="861"/>
      <c r="N171" s="861"/>
      <c r="O171" s="861"/>
      <c r="P171" s="861"/>
      <c r="Q171" s="861"/>
      <c r="R171" s="861"/>
      <c r="S171" s="861"/>
      <c r="T171" s="861"/>
      <c r="U171" s="861"/>
    </row>
    <row r="172">
      <c r="A172" s="875"/>
      <c r="B172" s="876"/>
      <c r="C172" s="303"/>
      <c r="D172" s="2"/>
      <c r="E172" s="2"/>
      <c r="F172" s="37"/>
      <c r="G172" s="861"/>
      <c r="H172" s="861"/>
      <c r="I172" s="861"/>
      <c r="J172" s="861"/>
      <c r="K172" s="861"/>
      <c r="L172" s="861"/>
      <c r="M172" s="861"/>
      <c r="N172" s="861"/>
      <c r="O172" s="861"/>
      <c r="P172" s="861"/>
      <c r="Q172" s="861"/>
      <c r="R172" s="861"/>
      <c r="S172" s="861"/>
      <c r="T172" s="861"/>
      <c r="U172" s="861"/>
    </row>
    <row r="173">
      <c r="A173" s="573"/>
    </row>
  </sheetData>
  <mergeCells count="99">
    <mergeCell ref="H15:M15"/>
    <mergeCell ref="O15:T15"/>
    <mergeCell ref="G1:U14"/>
    <mergeCell ref="A8:F8"/>
    <mergeCell ref="A9:F9"/>
    <mergeCell ref="A10:F11"/>
    <mergeCell ref="A12:F12"/>
    <mergeCell ref="A13:F13"/>
    <mergeCell ref="B14:F14"/>
    <mergeCell ref="A18:F18"/>
    <mergeCell ref="A19:F19"/>
    <mergeCell ref="O18:T18"/>
    <mergeCell ref="O19:T19"/>
    <mergeCell ref="G15:G19"/>
    <mergeCell ref="G20:G25"/>
    <mergeCell ref="I20:M20"/>
    <mergeCell ref="P20:T20"/>
    <mergeCell ref="A26:F26"/>
    <mergeCell ref="G26:G27"/>
    <mergeCell ref="A65:F65"/>
    <mergeCell ref="A68:F68"/>
    <mergeCell ref="A69:F69"/>
    <mergeCell ref="A75:F75"/>
    <mergeCell ref="B76:F76"/>
    <mergeCell ref="A82:F83"/>
    <mergeCell ref="A84:F84"/>
    <mergeCell ref="A104:F105"/>
    <mergeCell ref="A106:F106"/>
    <mergeCell ref="G106:G107"/>
    <mergeCell ref="A107:F107"/>
    <mergeCell ref="B85:F85"/>
    <mergeCell ref="A91:F91"/>
    <mergeCell ref="A92:F92"/>
    <mergeCell ref="G92:G94"/>
    <mergeCell ref="B93:F93"/>
    <mergeCell ref="A99:F99"/>
    <mergeCell ref="A101:F101"/>
    <mergeCell ref="N92:U97"/>
    <mergeCell ref="G101:U101"/>
    <mergeCell ref="A102:U103"/>
    <mergeCell ref="H104:M104"/>
    <mergeCell ref="H105:M105"/>
    <mergeCell ref="I106:M106"/>
    <mergeCell ref="H112:M112"/>
    <mergeCell ref="H115:M115"/>
    <mergeCell ref="B116:F116"/>
    <mergeCell ref="I118:M118"/>
    <mergeCell ref="A120:F120"/>
    <mergeCell ref="B121:F121"/>
    <mergeCell ref="A126:F127"/>
    <mergeCell ref="A128:F128"/>
    <mergeCell ref="A151:F151"/>
    <mergeCell ref="A152:F152"/>
    <mergeCell ref="A154:F154"/>
    <mergeCell ref="A155:F155"/>
    <mergeCell ref="A156:F157"/>
    <mergeCell ref="C158:F172"/>
    <mergeCell ref="A173:U173"/>
    <mergeCell ref="B129:F129"/>
    <mergeCell ref="A134:F135"/>
    <mergeCell ref="A136:F136"/>
    <mergeCell ref="B137:F137"/>
    <mergeCell ref="A142:F143"/>
    <mergeCell ref="A144:F144"/>
    <mergeCell ref="B145:F145"/>
    <mergeCell ref="H16:M17"/>
    <mergeCell ref="H18:M18"/>
    <mergeCell ref="H26:M26"/>
    <mergeCell ref="O26:T26"/>
    <mergeCell ref="O28:T28"/>
    <mergeCell ref="A29:F29"/>
    <mergeCell ref="A15:F15"/>
    <mergeCell ref="N15:N31"/>
    <mergeCell ref="U15:U31"/>
    <mergeCell ref="B16:F17"/>
    <mergeCell ref="O16:T17"/>
    <mergeCell ref="H19:M19"/>
    <mergeCell ref="B20:F20"/>
    <mergeCell ref="B32:F32"/>
    <mergeCell ref="P33:T33"/>
    <mergeCell ref="A35:F35"/>
    <mergeCell ref="H35:M35"/>
    <mergeCell ref="B36:F36"/>
    <mergeCell ref="I36:M36"/>
    <mergeCell ref="A40:U41"/>
    <mergeCell ref="A42:F42"/>
    <mergeCell ref="B43:F43"/>
    <mergeCell ref="A50:F50"/>
    <mergeCell ref="B51:F51"/>
    <mergeCell ref="A57:F57"/>
    <mergeCell ref="B58:F58"/>
    <mergeCell ref="A63:F63"/>
    <mergeCell ref="G28:G31"/>
    <mergeCell ref="H28:M28"/>
    <mergeCell ref="I33:M33"/>
    <mergeCell ref="G42:U91"/>
    <mergeCell ref="H92:M92"/>
    <mergeCell ref="I93:M93"/>
    <mergeCell ref="G95:G96"/>
  </mergeCells>
  <dataValidations>
    <dataValidation type="decimal" operator="greaterThanOrEqual" allowBlank="1" showDropDown="1" showErrorMessage="1" sqref="F130:F133">
      <formula1>0.0</formula1>
    </dataValidation>
    <dataValidation type="decimal" operator="greaterThanOrEqual" allowBlank="1" showDropDown="1" sqref="M37:M39">
      <formula1>0.0</formula1>
    </dataValidation>
  </dataValidations>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59"/>
    </row>
    <row r="8">
      <c r="A8" s="2"/>
      <c r="B8" s="2"/>
      <c r="C8" s="2"/>
      <c r="D8" s="2"/>
      <c r="E8" s="2"/>
      <c r="F8" s="2"/>
      <c r="G8" s="2"/>
      <c r="H8" s="2"/>
      <c r="I8" s="2"/>
      <c r="J8" s="2"/>
      <c r="K8" s="2"/>
      <c r="L8" s="2"/>
      <c r="M8" s="2"/>
      <c r="N8" s="2"/>
      <c r="O8" s="2"/>
      <c r="P8" s="2"/>
      <c r="Q8" s="2"/>
      <c r="R8" s="2"/>
      <c r="S8" s="2"/>
      <c r="T8" s="2"/>
    </row>
    <row r="9">
      <c r="A9" s="819" t="str">
        <f t="shared" ref="A9:A10" si="1">'WEEK 4 Master Sheet '!A9</f>
        <v>#REF!</v>
      </c>
      <c r="B9" s="27"/>
      <c r="C9" s="27"/>
      <c r="D9" s="27"/>
      <c r="E9" s="27"/>
      <c r="F9" s="28"/>
      <c r="G9" s="877"/>
      <c r="H9" s="15" t="s">
        <v>3</v>
      </c>
      <c r="I9" s="16"/>
      <c r="J9" s="16"/>
      <c r="K9" s="16"/>
      <c r="L9" s="16"/>
      <c r="M9" s="17"/>
      <c r="N9" s="573"/>
    </row>
    <row r="10">
      <c r="A10" s="878" t="str">
        <f t="shared" si="1"/>
        <v>#REF!</v>
      </c>
      <c r="B10" s="16"/>
      <c r="C10" s="16"/>
      <c r="D10" s="16"/>
      <c r="E10" s="16"/>
      <c r="F10" s="17"/>
      <c r="G10" s="399"/>
      <c r="H10" s="18" t="s">
        <v>139</v>
      </c>
      <c r="M10" s="19"/>
    </row>
    <row r="11">
      <c r="A11" s="303"/>
      <c r="B11" s="2"/>
      <c r="C11" s="2"/>
      <c r="D11" s="2"/>
      <c r="E11" s="2"/>
      <c r="F11" s="37"/>
      <c r="G11" s="399"/>
      <c r="H11" s="20" t="s">
        <v>140</v>
      </c>
      <c r="I11" s="21"/>
      <c r="J11" s="21"/>
      <c r="K11" s="21"/>
      <c r="L11" s="21"/>
      <c r="M11" s="22"/>
    </row>
    <row r="12">
      <c r="A12" s="630" t="str">
        <f t="shared" ref="A12:A13" si="2">'WEEK 4 Master Sheet '!A12</f>
        <v>#REF!</v>
      </c>
      <c r="B12" s="27"/>
      <c r="C12" s="27"/>
      <c r="D12" s="27"/>
      <c r="E12" s="27"/>
      <c r="F12" s="28"/>
      <c r="G12" s="399"/>
      <c r="H12" s="573"/>
    </row>
    <row r="13">
      <c r="A13" s="879" t="str">
        <f t="shared" si="2"/>
        <v>#REF!</v>
      </c>
      <c r="B13" s="27"/>
      <c r="C13" s="27"/>
      <c r="D13" s="27"/>
      <c r="E13" s="27"/>
      <c r="F13" s="28"/>
      <c r="G13" s="399"/>
    </row>
    <row r="14">
      <c r="A14" s="396" t="s">
        <v>109</v>
      </c>
      <c r="G14" s="399"/>
    </row>
    <row r="15">
      <c r="A15" s="514" t="str">
        <f>'WEEK 4 Master Sheet '!A15</f>
        <v>#REF!</v>
      </c>
      <c r="B15" s="27"/>
      <c r="C15" s="27"/>
      <c r="D15" s="27"/>
      <c r="E15" s="27"/>
      <c r="F15" s="28"/>
      <c r="G15" s="399"/>
      <c r="H15" s="191" t="str">
        <f>'WEEK 4 Master Sheet '!H15</f>
        <v>#REF!</v>
      </c>
      <c r="I15" s="27"/>
      <c r="J15" s="27"/>
      <c r="K15" s="27"/>
      <c r="L15" s="27"/>
      <c r="M15" s="28"/>
      <c r="N15" s="573"/>
      <c r="O15" s="191" t="str">
        <f>'WEEK 4 Master Sheet '!O15</f>
        <v>#REF!</v>
      </c>
      <c r="P15" s="27"/>
      <c r="Q15" s="27"/>
      <c r="R15" s="27"/>
      <c r="S15" s="27"/>
      <c r="T15" s="28"/>
    </row>
    <row r="16">
      <c r="A16" s="822"/>
      <c r="G16" s="399"/>
      <c r="H16" s="573"/>
      <c r="O16" s="573"/>
    </row>
    <row r="17">
      <c r="G17" s="399"/>
    </row>
    <row r="18">
      <c r="A18" s="518" t="str">
        <f t="shared" ref="A18:A32" si="3">'WEEK 4 Master Sheet '!A18</f>
        <v>#REF!</v>
      </c>
      <c r="B18" s="27"/>
      <c r="C18" s="27"/>
      <c r="D18" s="27"/>
      <c r="E18" s="27"/>
      <c r="F18" s="28"/>
      <c r="G18" s="399"/>
      <c r="H18" s="518" t="str">
        <f t="shared" ref="H18:H33" si="4">'WEEK 4 Master Sheet '!H18</f>
        <v>#REF!</v>
      </c>
      <c r="I18" s="27"/>
      <c r="J18" s="27"/>
      <c r="K18" s="27"/>
      <c r="L18" s="27"/>
      <c r="M18" s="28"/>
      <c r="O18" s="518" t="str">
        <f t="shared" ref="O18:O27" si="5">'WEEK 4 Master Sheet '!O18</f>
        <v>#REF!</v>
      </c>
      <c r="P18" s="27"/>
      <c r="Q18" s="27"/>
      <c r="R18" s="27"/>
      <c r="S18" s="27"/>
      <c r="T18" s="28"/>
    </row>
    <row r="19">
      <c r="A19" s="473" t="str">
        <f t="shared" si="3"/>
        <v>#REF!</v>
      </c>
      <c r="B19" s="44"/>
      <c r="C19" s="44"/>
      <c r="D19" s="44"/>
      <c r="E19" s="44"/>
      <c r="F19" s="45"/>
      <c r="G19" s="214" t="str">
        <f>'WEEK 4 Master Sheet '!G26</f>
        <v>#REF!</v>
      </c>
      <c r="H19" s="473" t="str">
        <f t="shared" si="4"/>
        <v>#REF!</v>
      </c>
      <c r="I19" s="44"/>
      <c r="J19" s="44"/>
      <c r="K19" s="44"/>
      <c r="L19" s="44"/>
      <c r="M19" s="45"/>
      <c r="N19" s="214" t="s">
        <v>90</v>
      </c>
      <c r="O19" s="880" t="str">
        <f t="shared" si="5"/>
        <v>#REF!</v>
      </c>
      <c r="P19" s="44"/>
      <c r="Q19" s="44"/>
      <c r="R19" s="44"/>
      <c r="S19" s="44"/>
      <c r="T19" s="45"/>
    </row>
    <row r="20">
      <c r="A20" s="881" t="str">
        <f t="shared" si="3"/>
        <v>#REF!</v>
      </c>
      <c r="B20" s="882">
        <f>90</f>
        <v>90</v>
      </c>
      <c r="C20" s="4"/>
      <c r="D20" s="4"/>
      <c r="E20" s="4"/>
      <c r="F20" s="48"/>
      <c r="G20" s="214"/>
      <c r="H20" s="193" t="str">
        <f t="shared" si="4"/>
        <v>#REF!</v>
      </c>
      <c r="I20" s="823" t="str">
        <f t="shared" ref="I20:I25" si="7">'WEEK 4 Master Sheet '!I20</f>
        <v>#REF!</v>
      </c>
      <c r="M20" s="19"/>
      <c r="N20" s="573"/>
      <c r="O20" s="193" t="str">
        <f t="shared" si="5"/>
        <v>#REF!</v>
      </c>
      <c r="P20" s="250">
        <v>100.0</v>
      </c>
      <c r="T20" s="19"/>
    </row>
    <row r="21">
      <c r="A21" s="883" t="str">
        <f t="shared" si="3"/>
        <v>#REF!</v>
      </c>
      <c r="B21" s="884" t="str">
        <f t="shared" ref="B21:F21" si="6">'WEEK 4 Master Sheet '!B21</f>
        <v>#REF!</v>
      </c>
      <c r="C21" s="884" t="str">
        <f t="shared" si="6"/>
        <v>#REF!</v>
      </c>
      <c r="D21" s="884" t="str">
        <f t="shared" si="6"/>
        <v>#REF!</v>
      </c>
      <c r="E21" s="885" t="str">
        <f t="shared" si="6"/>
        <v>#REF!</v>
      </c>
      <c r="F21" s="202" t="str">
        <f t="shared" si="6"/>
        <v>#REF!</v>
      </c>
      <c r="H21" s="87" t="str">
        <f t="shared" si="4"/>
        <v>#REF!</v>
      </c>
      <c r="I21" s="824" t="str">
        <f t="shared" si="7"/>
        <v>#REF!</v>
      </c>
      <c r="J21" s="824" t="str">
        <f t="shared" ref="J21:M21" si="8">'WEEK 4 Master Sheet '!J21</f>
        <v>#REF!</v>
      </c>
      <c r="K21" s="824" t="str">
        <f t="shared" si="8"/>
        <v>#REF!</v>
      </c>
      <c r="L21" s="308" t="str">
        <f t="shared" si="8"/>
        <v>#REF!</v>
      </c>
      <c r="M21" s="202" t="str">
        <f t="shared" si="8"/>
        <v>#REF!</v>
      </c>
      <c r="O21" s="87" t="str">
        <f t="shared" si="5"/>
        <v>#REF!</v>
      </c>
      <c r="P21" s="824" t="str">
        <f t="shared" ref="P21:T21" si="9">'WEEK 4 Master Sheet '!P21</f>
        <v>#REF!</v>
      </c>
      <c r="Q21" s="824" t="str">
        <f t="shared" si="9"/>
        <v>#REF!</v>
      </c>
      <c r="R21" s="824" t="str">
        <f t="shared" si="9"/>
        <v>#REF!</v>
      </c>
      <c r="S21" s="308" t="str">
        <f t="shared" si="9"/>
        <v>#REF!</v>
      </c>
      <c r="T21" s="202" t="str">
        <f t="shared" si="9"/>
        <v>#REF!</v>
      </c>
    </row>
    <row r="22">
      <c r="A22" s="886" t="str">
        <f t="shared" si="3"/>
        <v>#REF!</v>
      </c>
      <c r="B22" s="887" t="str">
        <f t="shared" ref="B22:E22" si="10">'WEEK 4 Master Sheet '!B22</f>
        <v>#REF!</v>
      </c>
      <c r="C22" s="887" t="str">
        <f t="shared" si="10"/>
        <v>#REF!</v>
      </c>
      <c r="D22" s="888" t="str">
        <f t="shared" si="10"/>
        <v>#REF!</v>
      </c>
      <c r="E22" s="889" t="str">
        <f t="shared" si="10"/>
        <v>#REF!</v>
      </c>
      <c r="F22" s="890">
        <v>6.0</v>
      </c>
      <c r="H22" s="207" t="str">
        <f t="shared" si="4"/>
        <v>#REF!</v>
      </c>
      <c r="I22" s="208" t="str">
        <f t="shared" si="7"/>
        <v>#REF!</v>
      </c>
      <c r="J22" s="208" t="str">
        <f t="shared" ref="J22:L22" si="11">'WEEK 4 Master Sheet '!J22</f>
        <v>#REF!</v>
      </c>
      <c r="K22" s="74" t="str">
        <f t="shared" si="11"/>
        <v>#REF!</v>
      </c>
      <c r="L22" s="825" t="str">
        <f t="shared" si="11"/>
        <v>#REF!</v>
      </c>
      <c r="M22" s="891"/>
      <c r="O22" s="207" t="str">
        <f t="shared" si="5"/>
        <v>#REF!</v>
      </c>
      <c r="P22" s="208" t="str">
        <f t="shared" ref="P22:S22" si="12">'WEEK 4 Master Sheet '!P22</f>
        <v>#REF!</v>
      </c>
      <c r="Q22" s="208" t="str">
        <f t="shared" si="12"/>
        <v>#REF!</v>
      </c>
      <c r="R22" s="74" t="str">
        <f t="shared" si="12"/>
        <v>#REF!</v>
      </c>
      <c r="S22" s="825" t="str">
        <f t="shared" si="12"/>
        <v>#REF!</v>
      </c>
      <c r="T22" s="891">
        <v>6.0</v>
      </c>
    </row>
    <row r="23">
      <c r="A23" s="886" t="str">
        <f t="shared" si="3"/>
        <v>#REF!</v>
      </c>
      <c r="B23" s="887" t="str">
        <f t="shared" ref="B23:E23" si="13">'WEEK 4 Master Sheet '!B23</f>
        <v>#REF!</v>
      </c>
      <c r="C23" s="887" t="str">
        <f t="shared" si="13"/>
        <v>#REF!</v>
      </c>
      <c r="D23" s="888" t="str">
        <f t="shared" si="13"/>
        <v>#REF!</v>
      </c>
      <c r="E23" s="889" t="str">
        <f t="shared" si="13"/>
        <v>#REF!</v>
      </c>
      <c r="F23" s="890">
        <v>1.0</v>
      </c>
      <c r="H23" s="207" t="str">
        <f t="shared" si="4"/>
        <v>#REF!</v>
      </c>
      <c r="I23" s="208" t="str">
        <f t="shared" si="7"/>
        <v>#REF!</v>
      </c>
      <c r="J23" s="208" t="str">
        <f t="shared" ref="J23:L23" si="14">'WEEK 4 Master Sheet '!J23</f>
        <v>#REF!</v>
      </c>
      <c r="K23" s="74" t="str">
        <f t="shared" si="14"/>
        <v>#REF!</v>
      </c>
      <c r="L23" s="825" t="str">
        <f t="shared" si="14"/>
        <v>#REF!</v>
      </c>
      <c r="M23" s="891"/>
      <c r="O23" s="207" t="str">
        <f t="shared" si="5"/>
        <v>#REF!</v>
      </c>
      <c r="P23" s="208" t="str">
        <f t="shared" ref="P23:S23" si="15">'WEEK 4 Master Sheet '!P23</f>
        <v>#REF!</v>
      </c>
      <c r="Q23" s="208" t="str">
        <f t="shared" si="15"/>
        <v>#REF!</v>
      </c>
      <c r="R23" s="74" t="str">
        <f t="shared" si="15"/>
        <v>#REF!</v>
      </c>
      <c r="S23" s="825" t="str">
        <f t="shared" si="15"/>
        <v>#REF!</v>
      </c>
      <c r="T23" s="891">
        <v>1.0</v>
      </c>
    </row>
    <row r="24">
      <c r="A24" s="892" t="str">
        <f t="shared" si="3"/>
        <v>#REF!</v>
      </c>
      <c r="B24" s="887" t="str">
        <f t="shared" ref="B24:E24" si="16">'WEEK 4 Master Sheet '!B24</f>
        <v>#REF!</v>
      </c>
      <c r="C24" s="893" t="str">
        <f t="shared" si="16"/>
        <v>#REF!</v>
      </c>
      <c r="D24" s="894" t="str">
        <f t="shared" si="16"/>
        <v>#REF!</v>
      </c>
      <c r="E24" s="889" t="str">
        <f t="shared" si="16"/>
        <v>#REF!</v>
      </c>
      <c r="F24" s="890">
        <v>1.0</v>
      </c>
      <c r="H24" s="207" t="str">
        <f t="shared" si="4"/>
        <v>#REF!</v>
      </c>
      <c r="I24" s="208" t="str">
        <f t="shared" si="7"/>
        <v>#REF!</v>
      </c>
      <c r="J24" s="208" t="str">
        <f t="shared" ref="J24:L24" si="17">'WEEK 4 Master Sheet '!J24</f>
        <v>#REF!</v>
      </c>
      <c r="K24" s="74" t="str">
        <f t="shared" si="17"/>
        <v>#REF!</v>
      </c>
      <c r="L24" s="825" t="str">
        <f t="shared" si="17"/>
        <v>#REF!</v>
      </c>
      <c r="M24" s="891"/>
      <c r="O24" s="207" t="str">
        <f t="shared" si="5"/>
        <v>#REF!</v>
      </c>
      <c r="P24" s="208" t="str">
        <f t="shared" ref="P24:S24" si="18">'WEEK 4 Master Sheet '!P24</f>
        <v>#REF!</v>
      </c>
      <c r="Q24" s="208" t="str">
        <f t="shared" si="18"/>
        <v>#REF!</v>
      </c>
      <c r="R24" s="74" t="str">
        <f t="shared" si="18"/>
        <v>#REF!</v>
      </c>
      <c r="S24" s="825" t="str">
        <f t="shared" si="18"/>
        <v>#REF!</v>
      </c>
      <c r="T24" s="891">
        <v>1.0</v>
      </c>
    </row>
    <row r="25">
      <c r="A25" s="892" t="str">
        <f t="shared" si="3"/>
        <v>#REF!</v>
      </c>
      <c r="B25" s="887" t="str">
        <f t="shared" ref="B25:E25" si="19">'WEEK 4 Master Sheet '!B25</f>
        <v>#REF!</v>
      </c>
      <c r="C25" s="893" t="str">
        <f t="shared" si="19"/>
        <v>#REF!</v>
      </c>
      <c r="D25" s="894" t="str">
        <f t="shared" si="19"/>
        <v>#REF!</v>
      </c>
      <c r="E25" s="889" t="str">
        <f t="shared" si="19"/>
        <v>#REF!</v>
      </c>
      <c r="F25" s="890">
        <v>1.0</v>
      </c>
      <c r="H25" s="207" t="str">
        <f t="shared" si="4"/>
        <v>#REF!</v>
      </c>
      <c r="I25" s="208" t="str">
        <f t="shared" si="7"/>
        <v>#REF!</v>
      </c>
      <c r="J25" s="212" t="str">
        <f t="shared" ref="J25:L25" si="20">'WEEK 4 Master Sheet '!J25</f>
        <v>#REF!</v>
      </c>
      <c r="K25" s="74" t="str">
        <f t="shared" si="20"/>
        <v>#REF!</v>
      </c>
      <c r="L25" s="825" t="str">
        <f t="shared" si="20"/>
        <v>#REF!</v>
      </c>
      <c r="M25" s="891"/>
      <c r="O25" s="207" t="str">
        <f t="shared" si="5"/>
        <v>#REF!</v>
      </c>
      <c r="P25" s="208" t="str">
        <f t="shared" ref="P25:S25" si="21">'WEEK 4 Master Sheet '!P25</f>
        <v>#REF!</v>
      </c>
      <c r="Q25" s="212" t="str">
        <f t="shared" si="21"/>
        <v>#REF!</v>
      </c>
      <c r="R25" s="74" t="str">
        <f t="shared" si="21"/>
        <v>#REF!</v>
      </c>
      <c r="S25" s="825" t="str">
        <f t="shared" si="21"/>
        <v>#REF!</v>
      </c>
      <c r="T25" s="891">
        <v>20.0</v>
      </c>
    </row>
    <row r="26">
      <c r="A26" s="213" t="str">
        <f t="shared" si="3"/>
        <v>#REF!</v>
      </c>
      <c r="B26" s="11"/>
      <c r="C26" s="11"/>
      <c r="D26" s="11"/>
      <c r="E26" s="11"/>
      <c r="F26" s="11"/>
      <c r="H26" s="215" t="str">
        <f t="shared" si="4"/>
        <v>#REF!</v>
      </c>
      <c r="M26" s="19"/>
      <c r="O26" s="215" t="str">
        <f t="shared" si="5"/>
        <v>#REF!</v>
      </c>
      <c r="T26" s="19"/>
    </row>
    <row r="27">
      <c r="A27" s="895" t="str">
        <f t="shared" si="3"/>
        <v>#REF!</v>
      </c>
      <c r="B27" s="896" t="str">
        <f t="shared" ref="B27:E27" si="22">'WEEK 4 Master Sheet '!B27</f>
        <v>#REF!</v>
      </c>
      <c r="C27" s="897" t="str">
        <f t="shared" si="22"/>
        <v>#REF!</v>
      </c>
      <c r="D27" s="897" t="str">
        <f t="shared" si="22"/>
        <v>#REF!</v>
      </c>
      <c r="E27" s="898" t="str">
        <f t="shared" si="22"/>
        <v>#REF!</v>
      </c>
      <c r="F27" s="891">
        <v>1.0</v>
      </c>
      <c r="H27" s="218" t="str">
        <f t="shared" si="4"/>
        <v>#REF!</v>
      </c>
      <c r="I27" s="219" t="str">
        <f t="shared" ref="I27:L27" si="23">'WEEK 4 Master Sheet '!I27</f>
        <v>#REF!</v>
      </c>
      <c r="J27" s="220" t="str">
        <f t="shared" si="23"/>
        <v>#REF!</v>
      </c>
      <c r="K27" s="221" t="str">
        <f t="shared" si="23"/>
        <v>#REF!</v>
      </c>
      <c r="L27" s="222" t="str">
        <f t="shared" si="23"/>
        <v>#REF!</v>
      </c>
      <c r="M27" s="230"/>
      <c r="O27" s="218" t="str">
        <f t="shared" si="5"/>
        <v>#REF!</v>
      </c>
      <c r="P27" s="219" t="str">
        <f t="shared" ref="P27:S27" si="24">'WEEK 4 Master Sheet '!P27</f>
        <v>#REF!</v>
      </c>
      <c r="Q27" s="220" t="str">
        <f t="shared" si="24"/>
        <v>#REF!</v>
      </c>
      <c r="R27" s="221" t="str">
        <f t="shared" si="24"/>
        <v>#REF!</v>
      </c>
      <c r="S27" s="222" t="str">
        <f t="shared" si="24"/>
        <v>#REF!</v>
      </c>
      <c r="T27" s="230">
        <v>20.0</v>
      </c>
    </row>
    <row r="28">
      <c r="A28" s="899" t="str">
        <f t="shared" si="3"/>
        <v>#REF!</v>
      </c>
      <c r="B28" s="897" t="str">
        <f t="shared" ref="B28:E28" si="25">'WEEK 4 Master Sheet '!B28</f>
        <v>#REF!</v>
      </c>
      <c r="C28" s="311" t="str">
        <f t="shared" si="25"/>
        <v>#REF!</v>
      </c>
      <c r="D28" s="896" t="str">
        <f t="shared" si="25"/>
        <v>#REF!</v>
      </c>
      <c r="E28" s="898" t="str">
        <f t="shared" si="25"/>
        <v>#REF!</v>
      </c>
      <c r="F28" s="891">
        <v>1.0</v>
      </c>
      <c r="H28" s="213" t="str">
        <f t="shared" si="4"/>
        <v>#REF!</v>
      </c>
      <c r="I28" s="11"/>
      <c r="J28" s="11"/>
      <c r="K28" s="11"/>
      <c r="L28" s="11"/>
      <c r="M28" s="86"/>
      <c r="O28" s="213"/>
      <c r="P28" s="11"/>
      <c r="Q28" s="11"/>
      <c r="R28" s="11"/>
      <c r="S28" s="11"/>
      <c r="T28" s="86"/>
    </row>
    <row r="29">
      <c r="A29" s="213" t="str">
        <f t="shared" si="3"/>
        <v>#REF!</v>
      </c>
      <c r="B29" s="11"/>
      <c r="C29" s="11"/>
      <c r="D29" s="11"/>
      <c r="E29" s="11"/>
      <c r="F29" s="11"/>
      <c r="H29" s="82" t="str">
        <f t="shared" si="4"/>
        <v>#REF!</v>
      </c>
      <c r="I29" s="228" t="str">
        <f t="shared" ref="I29:L29" si="26">'WEEK 4 Master Sheet '!I29</f>
        <v>#REF!</v>
      </c>
      <c r="J29" s="229" t="str">
        <f t="shared" si="26"/>
        <v>#REF!</v>
      </c>
      <c r="K29" s="56" t="str">
        <f t="shared" si="26"/>
        <v>#REF!</v>
      </c>
      <c r="L29" s="222" t="str">
        <f t="shared" si="26"/>
        <v>#REF!</v>
      </c>
      <c r="M29" s="230"/>
      <c r="O29" s="82" t="str">
        <f t="shared" ref="O29:S29" si="27">'WEEK 4 Master Sheet '!O29</f>
        <v>#REF!</v>
      </c>
      <c r="P29" s="228" t="str">
        <f t="shared" si="27"/>
        <v>#REF!</v>
      </c>
      <c r="Q29" s="229" t="str">
        <f t="shared" si="27"/>
        <v>#REF!</v>
      </c>
      <c r="R29" s="56" t="str">
        <f t="shared" si="27"/>
        <v>#REF!</v>
      </c>
      <c r="S29" s="222" t="str">
        <f t="shared" si="27"/>
        <v>#REF!</v>
      </c>
      <c r="T29" s="230"/>
    </row>
    <row r="30">
      <c r="A30" s="900" t="str">
        <f t="shared" si="3"/>
        <v>#REF!</v>
      </c>
      <c r="B30" s="887" t="str">
        <f t="shared" ref="B30:E30" si="28">'WEEK 4 Master Sheet '!B30</f>
        <v>#REF!</v>
      </c>
      <c r="C30" s="901" t="str">
        <f t="shared" si="28"/>
        <v>#REF!</v>
      </c>
      <c r="D30" s="894" t="str">
        <f t="shared" si="28"/>
        <v>#REF!</v>
      </c>
      <c r="E30" s="902" t="str">
        <f t="shared" si="28"/>
        <v>#REF!</v>
      </c>
      <c r="F30" s="903">
        <v>5.0</v>
      </c>
      <c r="H30" s="236" t="str">
        <f t="shared" si="4"/>
        <v>#REF!</v>
      </c>
      <c r="I30" s="221" t="str">
        <f t="shared" ref="I30:L30" si="29">'WEEK 4 Master Sheet '!I30</f>
        <v>#REF!</v>
      </c>
      <c r="J30" s="229" t="str">
        <f t="shared" si="29"/>
        <v>#REF!</v>
      </c>
      <c r="K30" s="56" t="str">
        <f t="shared" si="29"/>
        <v>#REF!</v>
      </c>
      <c r="L30" s="222" t="str">
        <f t="shared" si="29"/>
        <v>#REF!</v>
      </c>
      <c r="M30" s="230"/>
      <c r="O30" s="236" t="str">
        <f t="shared" ref="O30:S30" si="30">'WEEK 4 Master Sheet '!O30</f>
        <v>#REF!</v>
      </c>
      <c r="P30" s="221" t="str">
        <f t="shared" si="30"/>
        <v>#REF!</v>
      </c>
      <c r="Q30" s="229" t="str">
        <f t="shared" si="30"/>
        <v>#REF!</v>
      </c>
      <c r="R30" s="56" t="str">
        <f t="shared" si="30"/>
        <v>#REF!</v>
      </c>
      <c r="S30" s="222" t="str">
        <f t="shared" si="30"/>
        <v>#REF!</v>
      </c>
      <c r="T30" s="230"/>
    </row>
    <row r="31">
      <c r="A31" s="904" t="str">
        <f t="shared" si="3"/>
        <v>#REF!</v>
      </c>
      <c r="B31" s="905" t="str">
        <f t="shared" ref="B31:E31" si="31">'WEEK 4 Master Sheet '!B31</f>
        <v>#REF!</v>
      </c>
      <c r="C31" s="906" t="str">
        <f t="shared" si="31"/>
        <v>#REF!</v>
      </c>
      <c r="D31" s="907" t="str">
        <f t="shared" si="31"/>
        <v>#REF!</v>
      </c>
      <c r="E31" s="908" t="str">
        <f t="shared" si="31"/>
        <v>#REF!</v>
      </c>
      <c r="F31" s="903">
        <v>10.0</v>
      </c>
      <c r="H31" s="828" t="str">
        <f t="shared" si="4"/>
        <v>#REF!</v>
      </c>
      <c r="I31" s="829" t="str">
        <f t="shared" ref="I31:K31" si="32">'WEEK 4 Master Sheet '!I31</f>
        <v>#REF!</v>
      </c>
      <c r="J31" s="909" t="str">
        <f t="shared" si="32"/>
        <v>#REF!</v>
      </c>
      <c r="K31" s="829" t="str">
        <f t="shared" si="32"/>
        <v>#REF!</v>
      </c>
      <c r="L31" s="831"/>
      <c r="M31" s="903"/>
      <c r="O31" s="828" t="str">
        <f t="shared" ref="O31:R31" si="33">'WEEK 4 Master Sheet '!O31</f>
        <v>#REF!</v>
      </c>
      <c r="P31" s="829" t="str">
        <f t="shared" si="33"/>
        <v>#REF!</v>
      </c>
      <c r="Q31" s="909" t="str">
        <f t="shared" si="33"/>
        <v>#REF!</v>
      </c>
      <c r="R31" s="829" t="str">
        <f t="shared" si="33"/>
        <v>#REF!</v>
      </c>
      <c r="S31" s="831"/>
      <c r="T31" s="903"/>
    </row>
    <row r="32">
      <c r="A32" s="910" t="str">
        <f t="shared" si="3"/>
        <v>#REF!</v>
      </c>
      <c r="B32" s="911" t="str">
        <f>'WEEK 4 Master Sheet '!B32</f>
        <v>#REF!</v>
      </c>
      <c r="C32" s="24"/>
      <c r="D32" s="24"/>
      <c r="E32" s="24"/>
      <c r="F32" s="25"/>
      <c r="H32" s="828" t="str">
        <f t="shared" si="4"/>
        <v>#REF!</v>
      </c>
      <c r="I32" s="829" t="str">
        <f t="shared" ref="I32:L32" si="34">'WEEK 4 Master Sheet '!I32</f>
        <v>#REF!</v>
      </c>
      <c r="J32" s="830" t="str">
        <f t="shared" si="34"/>
        <v>#REF!</v>
      </c>
      <c r="K32" s="234" t="str">
        <f t="shared" si="34"/>
        <v>#REF!</v>
      </c>
      <c r="L32" s="831" t="str">
        <f t="shared" si="34"/>
        <v>#REF!</v>
      </c>
      <c r="M32" s="903"/>
      <c r="O32" s="828" t="str">
        <f t="shared" ref="O32:S32" si="35">'WEEK 4 Master Sheet '!O32</f>
        <v>#REF!</v>
      </c>
      <c r="P32" s="829" t="str">
        <f t="shared" si="35"/>
        <v>#REF!</v>
      </c>
      <c r="Q32" s="830" t="str">
        <f t="shared" si="35"/>
        <v>#REF!</v>
      </c>
      <c r="R32" s="234" t="str">
        <f t="shared" si="35"/>
        <v>#REF!</v>
      </c>
      <c r="S32" s="831" t="str">
        <f t="shared" si="35"/>
        <v>#REF!</v>
      </c>
      <c r="T32" s="903"/>
    </row>
    <row r="33">
      <c r="A33" s="241"/>
      <c r="H33" s="239" t="str">
        <f t="shared" si="4"/>
        <v>#REF!</v>
      </c>
      <c r="I33" s="299" t="str">
        <f>'WEEK 4 Master Sheet '!I33</f>
        <v>#REF!</v>
      </c>
      <c r="J33" s="24"/>
      <c r="K33" s="24"/>
      <c r="L33" s="24"/>
      <c r="M33" s="25"/>
      <c r="O33" s="239" t="str">
        <f t="shared" ref="O33:P33" si="36">'WEEK 4 Master Sheet '!O33</f>
        <v>#REF!</v>
      </c>
      <c r="P33" s="299" t="str">
        <f t="shared" si="36"/>
        <v>#REF!</v>
      </c>
      <c r="Q33" s="24"/>
      <c r="R33" s="24"/>
      <c r="S33" s="24"/>
      <c r="T33" s="25"/>
    </row>
    <row r="34">
      <c r="H34" s="833"/>
    </row>
    <row r="35">
      <c r="A35" s="473" t="str">
        <f t="shared" ref="A35:A39" si="37">'WEEK 4 Master Sheet '!A35</f>
        <v>#REF!</v>
      </c>
      <c r="B35" s="44"/>
      <c r="C35" s="44"/>
      <c r="D35" s="44"/>
      <c r="E35" s="44"/>
      <c r="F35" s="45"/>
      <c r="G35" s="403" t="s">
        <v>90</v>
      </c>
      <c r="H35" s="473" t="str">
        <f t="shared" ref="H35:H39" si="38">'WEEK 4 Master Sheet '!H35</f>
        <v>#REF!</v>
      </c>
      <c r="I35" s="44"/>
      <c r="J35" s="44"/>
      <c r="K35" s="44"/>
      <c r="L35" s="44"/>
      <c r="M35" s="45"/>
      <c r="N35" s="912"/>
    </row>
    <row r="36">
      <c r="A36" s="571" t="str">
        <f t="shared" si="37"/>
        <v>#REF!</v>
      </c>
      <c r="B36" s="251" t="str">
        <f t="shared" ref="B36:B39" si="39">'WEEK 4 Master Sheet '!B36</f>
        <v>#REF!</v>
      </c>
      <c r="C36" s="11"/>
      <c r="D36" s="11"/>
      <c r="E36" s="11"/>
      <c r="F36" s="86"/>
      <c r="G36" s="573"/>
      <c r="H36" s="571" t="str">
        <f t="shared" si="38"/>
        <v>#REF!</v>
      </c>
      <c r="I36" s="251" t="str">
        <f t="shared" ref="I36:I39" si="41">'WEEK 4 Master Sheet '!I36</f>
        <v>#REF!</v>
      </c>
      <c r="J36" s="11"/>
      <c r="K36" s="11"/>
      <c r="L36" s="11"/>
      <c r="M36" s="86"/>
      <c r="N36" s="505"/>
    </row>
    <row r="37">
      <c r="A37" s="198" t="str">
        <f t="shared" si="37"/>
        <v>#REF!</v>
      </c>
      <c r="B37" s="199" t="str">
        <f t="shared" si="39"/>
        <v>#REF!</v>
      </c>
      <c r="C37" s="199" t="str">
        <f t="shared" ref="C37:F37" si="40">'WEEK 4 Master Sheet '!C37</f>
        <v>#REF!</v>
      </c>
      <c r="D37" s="199" t="str">
        <f t="shared" si="40"/>
        <v>#REF!</v>
      </c>
      <c r="E37" s="200" t="str">
        <f t="shared" si="40"/>
        <v>#REF!</v>
      </c>
      <c r="F37" s="202" t="str">
        <f t="shared" si="40"/>
        <v>#REF!</v>
      </c>
      <c r="H37" s="198" t="str">
        <f t="shared" si="38"/>
        <v>#REF!</v>
      </c>
      <c r="I37" s="199" t="str">
        <f t="shared" si="41"/>
        <v>#REF!</v>
      </c>
      <c r="J37" s="199" t="str">
        <f t="shared" ref="J37:M37" si="42">'WEEK 4 Master Sheet '!J37</f>
        <v>#REF!</v>
      </c>
      <c r="K37" s="199" t="str">
        <f t="shared" si="42"/>
        <v>#REF!</v>
      </c>
      <c r="L37" s="200" t="str">
        <f t="shared" si="42"/>
        <v>#REF!</v>
      </c>
      <c r="M37" s="913" t="str">
        <f t="shared" si="42"/>
        <v>#REF!</v>
      </c>
      <c r="N37" s="505"/>
    </row>
    <row r="38">
      <c r="A38" s="209" t="str">
        <f t="shared" si="37"/>
        <v>#REF!</v>
      </c>
      <c r="B38" s="204" t="str">
        <f t="shared" si="39"/>
        <v>#REF!</v>
      </c>
      <c r="C38" s="73" t="str">
        <f t="shared" ref="C38:E38" si="43">'WEEK 4 Master Sheet '!C38</f>
        <v>#REF!</v>
      </c>
      <c r="D38" s="914" t="str">
        <f t="shared" si="43"/>
        <v>#REF!</v>
      </c>
      <c r="E38" s="57" t="str">
        <f t="shared" si="43"/>
        <v>#REF!</v>
      </c>
      <c r="F38" s="903"/>
      <c r="H38" s="209" t="str">
        <f t="shared" si="38"/>
        <v>#REF!</v>
      </c>
      <c r="I38" s="204" t="str">
        <f t="shared" si="41"/>
        <v>#REF!</v>
      </c>
      <c r="J38" s="73" t="str">
        <f t="shared" ref="J38:L38" si="44">'WEEK 4 Master Sheet '!J38</f>
        <v>#REF!</v>
      </c>
      <c r="K38" s="914" t="str">
        <f t="shared" si="44"/>
        <v>#REF!</v>
      </c>
      <c r="L38" s="57" t="str">
        <f t="shared" si="44"/>
        <v>#REF!</v>
      </c>
      <c r="M38" s="903"/>
      <c r="N38" s="505"/>
    </row>
    <row r="39">
      <c r="A39" s="256" t="str">
        <f t="shared" si="37"/>
        <v>#REF!</v>
      </c>
      <c r="B39" s="258" t="str">
        <f t="shared" si="39"/>
        <v>#REF!</v>
      </c>
      <c r="C39" s="78" t="str">
        <f t="shared" ref="C39:D39" si="45">'WEEK 4 Master Sheet '!C39</f>
        <v>#REF!</v>
      </c>
      <c r="D39" s="915" t="str">
        <f t="shared" si="45"/>
        <v>#REF!</v>
      </c>
      <c r="E39" s="63"/>
      <c r="F39" s="903"/>
      <c r="H39" s="256" t="str">
        <f t="shared" si="38"/>
        <v>#REF!</v>
      </c>
      <c r="I39" s="258" t="str">
        <f t="shared" si="41"/>
        <v>#REF!</v>
      </c>
      <c r="J39" s="78" t="str">
        <f t="shared" ref="J39:K39" si="46">'WEEK 4 Master Sheet '!J39</f>
        <v>#REF!</v>
      </c>
      <c r="K39" s="915" t="str">
        <f t="shared" si="46"/>
        <v>#REF!</v>
      </c>
      <c r="L39" s="63"/>
      <c r="M39" s="903"/>
      <c r="N39" s="505"/>
    </row>
    <row r="40">
      <c r="A40" s="94"/>
      <c r="H40" s="835" t="s">
        <v>9</v>
      </c>
    </row>
    <row r="42">
      <c r="A42" s="473" t="str">
        <f t="shared" ref="A42:A47" si="47">'WEEK 4 Master Sheet '!A42</f>
        <v>#REF!</v>
      </c>
      <c r="B42" s="44"/>
      <c r="C42" s="44"/>
      <c r="D42" s="44"/>
      <c r="E42" s="44"/>
      <c r="F42" s="45"/>
    </row>
    <row r="43">
      <c r="A43" s="249" t="str">
        <f t="shared" si="47"/>
        <v>#REF!</v>
      </c>
      <c r="B43" s="916">
        <v>265.0</v>
      </c>
      <c r="C43" s="7"/>
      <c r="D43" s="7"/>
      <c r="E43" s="7"/>
      <c r="F43" s="197"/>
    </row>
    <row r="44">
      <c r="A44" s="49" t="str">
        <f t="shared" si="47"/>
        <v>#REF!</v>
      </c>
      <c r="B44" s="332" t="str">
        <f t="shared" ref="B44:F44" si="48">'WEEK 4 Master Sheet '!B44</f>
        <v>#REF!</v>
      </c>
      <c r="C44" s="332" t="str">
        <f t="shared" si="48"/>
        <v>#REF!</v>
      </c>
      <c r="D44" s="332" t="str">
        <f t="shared" si="48"/>
        <v>#REF!</v>
      </c>
      <c r="E44" s="837" t="str">
        <f t="shared" si="48"/>
        <v>#REF!</v>
      </c>
      <c r="F44" s="202" t="str">
        <f t="shared" si="48"/>
        <v>#REF!</v>
      </c>
    </row>
    <row r="45">
      <c r="A45" s="209" t="str">
        <f t="shared" si="47"/>
        <v>#REF!</v>
      </c>
      <c r="B45" s="204" t="str">
        <f t="shared" ref="B45:E45" si="49">'WEEK 4 Master Sheet '!B45</f>
        <v>#REF!</v>
      </c>
      <c r="C45" s="95" t="str">
        <f t="shared" si="49"/>
        <v>#REF!</v>
      </c>
      <c r="D45" s="56" t="str">
        <f t="shared" si="49"/>
        <v>#REF!</v>
      </c>
      <c r="E45" s="57" t="str">
        <f t="shared" si="49"/>
        <v>#REF!</v>
      </c>
      <c r="F45" s="903">
        <v>20.0</v>
      </c>
    </row>
    <row r="46">
      <c r="A46" s="209" t="str">
        <f t="shared" si="47"/>
        <v>#REF!</v>
      </c>
      <c r="B46" s="204" t="str">
        <f t="shared" ref="B46:D46" si="50">'WEEK 4 Master Sheet '!B46</f>
        <v>#REF!</v>
      </c>
      <c r="C46" s="95" t="str">
        <f t="shared" si="50"/>
        <v>#REF!</v>
      </c>
      <c r="D46" s="56" t="str">
        <f t="shared" si="50"/>
        <v>#REF!</v>
      </c>
      <c r="E46" s="57"/>
      <c r="F46" s="903">
        <v>17.0</v>
      </c>
    </row>
    <row r="47">
      <c r="A47" s="209" t="str">
        <f t="shared" si="47"/>
        <v>#REF!</v>
      </c>
      <c r="B47" s="204" t="str">
        <f t="shared" ref="B47:D47" si="51">'WEEK 4 Master Sheet '!B47</f>
        <v>#REF!</v>
      </c>
      <c r="C47" s="95" t="str">
        <f t="shared" si="51"/>
        <v>#REF!</v>
      </c>
      <c r="D47" s="56" t="str">
        <f t="shared" si="51"/>
        <v>#REF!</v>
      </c>
      <c r="E47" s="57"/>
      <c r="F47" s="230">
        <v>15.0</v>
      </c>
    </row>
    <row r="48">
      <c r="A48" s="269"/>
    </row>
    <row r="50">
      <c r="A50" s="473" t="str">
        <f t="shared" ref="A50:A54" si="52">'WEEK 4 Master Sheet '!A50</f>
        <v>#REF!</v>
      </c>
      <c r="B50" s="44"/>
      <c r="C50" s="44"/>
      <c r="D50" s="44"/>
      <c r="E50" s="44"/>
      <c r="F50" s="45"/>
    </row>
    <row r="51">
      <c r="A51" s="429" t="str">
        <f t="shared" si="52"/>
        <v>#REF!</v>
      </c>
      <c r="B51" s="47">
        <v>205.0</v>
      </c>
      <c r="C51" s="4"/>
      <c r="D51" s="4"/>
      <c r="E51" s="4"/>
      <c r="F51" s="48"/>
    </row>
    <row r="52">
      <c r="A52" s="49" t="str">
        <f t="shared" si="52"/>
        <v>#REF!</v>
      </c>
      <c r="B52" s="50" t="str">
        <f t="shared" ref="B52:F52" si="53">'WEEK 4 Master Sheet '!B52</f>
        <v>#REF!</v>
      </c>
      <c r="C52" s="50" t="str">
        <f t="shared" si="53"/>
        <v>#REF!</v>
      </c>
      <c r="D52" s="50" t="str">
        <f t="shared" si="53"/>
        <v>#REF!</v>
      </c>
      <c r="E52" s="560" t="str">
        <f t="shared" si="53"/>
        <v>#REF!</v>
      </c>
      <c r="F52" s="202" t="str">
        <f t="shared" si="53"/>
        <v>#REF!</v>
      </c>
    </row>
    <row r="53">
      <c r="A53" s="53" t="str">
        <f t="shared" si="52"/>
        <v>#REF!</v>
      </c>
      <c r="B53" s="839" t="str">
        <f t="shared" ref="B53:E53" si="54">'WEEK 4 Master Sheet '!B53</f>
        <v>#REF!</v>
      </c>
      <c r="C53" s="95" t="str">
        <f t="shared" si="54"/>
        <v>#REF!</v>
      </c>
      <c r="D53" s="56" t="str">
        <f t="shared" si="54"/>
        <v>#REF!</v>
      </c>
      <c r="E53" s="57" t="str">
        <f t="shared" si="54"/>
        <v>#REF!</v>
      </c>
      <c r="F53" s="903">
        <v>17.0</v>
      </c>
    </row>
    <row r="54">
      <c r="A54" s="59" t="str">
        <f t="shared" si="52"/>
        <v>#REF!</v>
      </c>
      <c r="B54" s="840" t="str">
        <f t="shared" ref="B54:D54" si="55">'WEEK 4 Master Sheet '!B54</f>
        <v>#REF!</v>
      </c>
      <c r="C54" s="96" t="str">
        <f t="shared" si="55"/>
        <v>#REF!</v>
      </c>
      <c r="D54" s="62" t="str">
        <f t="shared" si="55"/>
        <v>#REF!</v>
      </c>
      <c r="E54" s="63"/>
      <c r="F54" s="903">
        <v>25.0</v>
      </c>
    </row>
    <row r="55">
      <c r="A55" s="94"/>
    </row>
    <row r="57">
      <c r="A57" s="473" t="str">
        <f t="shared" ref="A57:A61" si="56">'WEEK 4 Master Sheet '!A57</f>
        <v>#REF!</v>
      </c>
      <c r="B57" s="44"/>
      <c r="C57" s="44"/>
      <c r="D57" s="44"/>
      <c r="E57" s="44"/>
      <c r="F57" s="45"/>
    </row>
    <row r="58">
      <c r="A58" s="429" t="str">
        <f t="shared" si="56"/>
        <v>#REF!</v>
      </c>
      <c r="B58" s="47">
        <v>60.0</v>
      </c>
      <c r="C58" s="4"/>
      <c r="D58" s="4"/>
      <c r="E58" s="4"/>
      <c r="F58" s="48"/>
    </row>
    <row r="59">
      <c r="A59" s="49" t="str">
        <f t="shared" si="56"/>
        <v>#REF!</v>
      </c>
      <c r="B59" s="50" t="str">
        <f t="shared" ref="B59:F59" si="57">'WEEK 4 Master Sheet '!B59</f>
        <v>#REF!</v>
      </c>
      <c r="C59" s="50" t="str">
        <f t="shared" si="57"/>
        <v>#REF!</v>
      </c>
      <c r="D59" s="50" t="str">
        <f t="shared" si="57"/>
        <v>#REF!</v>
      </c>
      <c r="E59" s="560" t="str">
        <f t="shared" si="57"/>
        <v>#REF!</v>
      </c>
      <c r="F59" s="202" t="str">
        <f t="shared" si="57"/>
        <v>#REF!</v>
      </c>
    </row>
    <row r="60">
      <c r="A60" s="53" t="str">
        <f t="shared" si="56"/>
        <v>#REF!</v>
      </c>
      <c r="B60" s="839" t="str">
        <f t="shared" ref="B60:E60" si="58">'WEEK 4 Master Sheet '!B60</f>
        <v>#REF!</v>
      </c>
      <c r="C60" s="95" t="str">
        <f t="shared" si="58"/>
        <v>#REF!</v>
      </c>
      <c r="D60" s="56" t="str">
        <f t="shared" si="58"/>
        <v>#REF!</v>
      </c>
      <c r="E60" s="57" t="str">
        <f t="shared" si="58"/>
        <v>#REF!</v>
      </c>
      <c r="F60" s="903"/>
    </row>
    <row r="61">
      <c r="A61" s="59" t="str">
        <f t="shared" si="56"/>
        <v>#REF!</v>
      </c>
      <c r="B61" s="840" t="str">
        <f t="shared" ref="B61:D61" si="59">'WEEK 4 Master Sheet '!B61</f>
        <v>#REF!</v>
      </c>
      <c r="C61" s="96" t="str">
        <f t="shared" si="59"/>
        <v>#REF!</v>
      </c>
      <c r="D61" s="62" t="str">
        <f t="shared" si="59"/>
        <v>#REF!</v>
      </c>
      <c r="E61" s="63"/>
      <c r="F61" s="903"/>
    </row>
    <row r="62">
      <c r="A62" s="573"/>
    </row>
    <row r="63">
      <c r="A63" s="804" t="str">
        <f>'WEEK 4 Master Sheet '!A63</f>
        <v>#REF!</v>
      </c>
      <c r="B63" s="27"/>
      <c r="C63" s="27"/>
      <c r="D63" s="27"/>
      <c r="E63" s="27"/>
      <c r="F63" s="28"/>
    </row>
    <row r="64">
      <c r="A64" s="842"/>
    </row>
    <row r="65">
      <c r="A65" s="577" t="str">
        <f t="shared" ref="A65:A66" si="60">'WEEK 4 Master Sheet '!A65</f>
        <v>#REF!</v>
      </c>
      <c r="B65" s="27"/>
      <c r="C65" s="27"/>
      <c r="D65" s="27"/>
      <c r="E65" s="27"/>
      <c r="F65" s="28"/>
    </row>
    <row r="66">
      <c r="A66" s="822" t="str">
        <f t="shared" si="60"/>
        <v>#REF!</v>
      </c>
    </row>
    <row r="68">
      <c r="A68" s="518" t="str">
        <f t="shared" ref="A68:A72" si="61">'WEEK 4 Master Sheet '!A68</f>
        <v>#REF!</v>
      </c>
      <c r="B68" s="27"/>
      <c r="C68" s="27"/>
      <c r="D68" s="27"/>
      <c r="E68" s="27"/>
      <c r="F68" s="28"/>
    </row>
    <row r="69">
      <c r="A69" s="473" t="str">
        <f t="shared" si="61"/>
        <v>#REF!</v>
      </c>
      <c r="B69" s="44"/>
      <c r="C69" s="44"/>
      <c r="D69" s="44"/>
      <c r="E69" s="44"/>
      <c r="F69" s="45"/>
    </row>
    <row r="70">
      <c r="A70" s="49" t="str">
        <f t="shared" si="61"/>
        <v>#REF!</v>
      </c>
      <c r="B70" s="50" t="str">
        <f t="shared" ref="B70:F70" si="62">'WEEK 4 Master Sheet '!B70</f>
        <v>#REF!</v>
      </c>
      <c r="C70" s="50" t="str">
        <f t="shared" si="62"/>
        <v>#REF!</v>
      </c>
      <c r="D70" s="50" t="str">
        <f t="shared" si="62"/>
        <v>#REF!</v>
      </c>
      <c r="E70" s="560" t="str">
        <f t="shared" si="62"/>
        <v>#REF!</v>
      </c>
      <c r="F70" s="202" t="str">
        <f t="shared" si="62"/>
        <v>#REF!</v>
      </c>
    </row>
    <row r="71">
      <c r="A71" s="275" t="str">
        <f t="shared" si="61"/>
        <v>#REF!</v>
      </c>
      <c r="B71" s="561" t="str">
        <f t="shared" ref="B71:E71" si="63">'WEEK 4 Master Sheet '!B71</f>
        <v>#REF!</v>
      </c>
      <c r="C71" s="561" t="str">
        <f t="shared" si="63"/>
        <v>#REF!</v>
      </c>
      <c r="D71" s="561" t="str">
        <f t="shared" si="63"/>
        <v>#REF!</v>
      </c>
      <c r="E71" s="562" t="str">
        <f t="shared" si="63"/>
        <v>#REF!</v>
      </c>
      <c r="F71" s="903">
        <v>0.0</v>
      </c>
    </row>
    <row r="72">
      <c r="A72" s="280" t="str">
        <f t="shared" si="61"/>
        <v>#REF!</v>
      </c>
      <c r="B72" s="563" t="str">
        <f t="shared" ref="B72:D72" si="64">'WEEK 4 Master Sheet '!B72</f>
        <v>#REF!</v>
      </c>
      <c r="C72" s="563" t="str">
        <f t="shared" si="64"/>
        <v>#REF!</v>
      </c>
      <c r="D72" s="563" t="str">
        <f t="shared" si="64"/>
        <v>#REF!</v>
      </c>
      <c r="E72" s="564"/>
      <c r="F72" s="903">
        <v>0.0</v>
      </c>
    </row>
    <row r="73">
      <c r="A73" s="822"/>
    </row>
    <row r="75">
      <c r="A75" s="473" t="str">
        <f t="shared" ref="A75:A81" si="65">'WEEK 4 Master Sheet '!A75</f>
        <v>#REF!</v>
      </c>
      <c r="B75" s="44"/>
      <c r="C75" s="44"/>
      <c r="D75" s="44"/>
      <c r="E75" s="44"/>
      <c r="F75" s="45"/>
    </row>
    <row r="76">
      <c r="A76" s="429" t="str">
        <f t="shared" si="65"/>
        <v>#REF!</v>
      </c>
      <c r="B76" s="572">
        <v>350.0</v>
      </c>
      <c r="C76" s="11"/>
      <c r="D76" s="11"/>
      <c r="E76" s="11"/>
      <c r="F76" s="86"/>
    </row>
    <row r="77">
      <c r="A77" s="49" t="str">
        <f t="shared" si="65"/>
        <v>#REF!</v>
      </c>
      <c r="B77" s="50" t="str">
        <f t="shared" ref="B77:F77" si="66">'WEEK 4 Master Sheet '!B77</f>
        <v>#REF!</v>
      </c>
      <c r="C77" s="50" t="str">
        <f t="shared" si="66"/>
        <v>#REF!</v>
      </c>
      <c r="D77" s="50" t="str">
        <f t="shared" si="66"/>
        <v>#REF!</v>
      </c>
      <c r="E77" s="560" t="str">
        <f t="shared" si="66"/>
        <v>#REF!</v>
      </c>
      <c r="F77" s="202" t="str">
        <f t="shared" si="66"/>
        <v>#REF!</v>
      </c>
    </row>
    <row r="78">
      <c r="A78" s="275" t="str">
        <f t="shared" si="65"/>
        <v>#REF!</v>
      </c>
      <c r="B78" s="845" t="str">
        <f t="shared" ref="B78:E78" si="67">'WEEK 4 Master Sheet '!B78</f>
        <v>#REF!</v>
      </c>
      <c r="C78" s="90" t="str">
        <f t="shared" si="67"/>
        <v>#REF!</v>
      </c>
      <c r="D78" s="373" t="str">
        <f t="shared" si="67"/>
        <v>#REF!</v>
      </c>
      <c r="E78" s="57" t="str">
        <f t="shared" si="67"/>
        <v>#REF!</v>
      </c>
      <c r="F78" s="903">
        <v>0.0</v>
      </c>
    </row>
    <row r="79">
      <c r="A79" s="275" t="str">
        <f t="shared" si="65"/>
        <v>#REF!</v>
      </c>
      <c r="B79" s="845" t="str">
        <f t="shared" ref="B79:D79" si="68">'WEEK 4 Master Sheet '!B79</f>
        <v>#REF!</v>
      </c>
      <c r="C79" s="90" t="str">
        <f t="shared" si="68"/>
        <v>#REF!</v>
      </c>
      <c r="D79" s="373" t="str">
        <f t="shared" si="68"/>
        <v>#REF!</v>
      </c>
      <c r="E79" s="57"/>
      <c r="F79" s="903">
        <v>0.0</v>
      </c>
    </row>
    <row r="80">
      <c r="A80" s="275" t="str">
        <f t="shared" si="65"/>
        <v>#REF!</v>
      </c>
      <c r="B80" s="845" t="str">
        <f t="shared" ref="B80:D80" si="69">'WEEK 4 Master Sheet '!B80</f>
        <v>#REF!</v>
      </c>
      <c r="C80" s="90" t="str">
        <f t="shared" si="69"/>
        <v>#REF!</v>
      </c>
      <c r="D80" s="373" t="str">
        <f t="shared" si="69"/>
        <v>#REF!</v>
      </c>
      <c r="E80" s="57"/>
      <c r="F80" s="903">
        <v>0.0</v>
      </c>
    </row>
    <row r="81">
      <c r="A81" s="280" t="str">
        <f t="shared" si="65"/>
        <v>#REF!</v>
      </c>
      <c r="B81" s="846" t="str">
        <f t="shared" ref="B81:D81" si="70">'WEEK 4 Master Sheet '!B81</f>
        <v>#REF!</v>
      </c>
      <c r="C81" s="92" t="str">
        <f t="shared" si="70"/>
        <v>#REF!</v>
      </c>
      <c r="D81" s="847" t="str">
        <f t="shared" si="70"/>
        <v>#REF!</v>
      </c>
      <c r="E81" s="63"/>
      <c r="F81" s="903">
        <v>0.0</v>
      </c>
    </row>
    <row r="82">
      <c r="A82" s="287"/>
    </row>
    <row r="84">
      <c r="A84" s="473" t="str">
        <f t="shared" ref="A84:A90" si="71">'WEEK 4 Master Sheet '!A84</f>
        <v>#REF!</v>
      </c>
      <c r="B84" s="44"/>
      <c r="C84" s="44"/>
      <c r="D84" s="44"/>
      <c r="E84" s="44"/>
      <c r="F84" s="45"/>
    </row>
    <row r="85">
      <c r="A85" s="193" t="str">
        <f t="shared" si="71"/>
        <v>#REF!</v>
      </c>
      <c r="B85" s="81" t="str">
        <f t="shared" ref="B85:B89" si="72">'WEEK 4 Master Sheet '!B85</f>
        <v>#REF!</v>
      </c>
      <c r="C85" s="4"/>
      <c r="D85" s="4"/>
      <c r="E85" s="4"/>
      <c r="F85" s="48"/>
    </row>
    <row r="86">
      <c r="A86" s="87" t="str">
        <f t="shared" si="71"/>
        <v>#REF!</v>
      </c>
      <c r="B86" s="88" t="str">
        <f t="shared" si="72"/>
        <v>#REF!</v>
      </c>
      <c r="C86" s="88" t="str">
        <f t="shared" ref="C86:F86" si="73">'WEEK 4 Master Sheet '!C86</f>
        <v>#REF!</v>
      </c>
      <c r="D86" s="88" t="str">
        <f t="shared" si="73"/>
        <v>#REF!</v>
      </c>
      <c r="E86" s="89" t="str">
        <f t="shared" si="73"/>
        <v>#REF!</v>
      </c>
      <c r="F86" s="202" t="str">
        <f t="shared" si="73"/>
        <v>#REF!</v>
      </c>
    </row>
    <row r="87">
      <c r="A87" s="319" t="str">
        <f t="shared" si="71"/>
        <v>#REF!</v>
      </c>
      <c r="B87" s="204" t="str">
        <f t="shared" si="72"/>
        <v>#REF!</v>
      </c>
      <c r="C87" s="656" t="str">
        <f t="shared" ref="C87:E87" si="74">'WEEK 4 Master Sheet '!C87</f>
        <v>#REF!</v>
      </c>
      <c r="D87" s="317" t="str">
        <f t="shared" si="74"/>
        <v>#REF!</v>
      </c>
      <c r="E87" s="420" t="str">
        <f t="shared" si="74"/>
        <v>#REF!</v>
      </c>
      <c r="F87" s="903">
        <v>8.0</v>
      </c>
    </row>
    <row r="88">
      <c r="A88" s="319" t="str">
        <f t="shared" si="71"/>
        <v>#REF!</v>
      </c>
      <c r="B88" s="204" t="str">
        <f t="shared" si="72"/>
        <v>#REF!</v>
      </c>
      <c r="C88" s="656" t="str">
        <f t="shared" ref="C88:E88" si="75">'WEEK 4 Master Sheet '!C88</f>
        <v>#REF!</v>
      </c>
      <c r="D88" s="317" t="str">
        <f t="shared" si="75"/>
        <v>#REF!</v>
      </c>
      <c r="E88" s="657" t="str">
        <f t="shared" si="75"/>
        <v>#REF!</v>
      </c>
      <c r="F88" s="903">
        <v>8.0</v>
      </c>
    </row>
    <row r="89">
      <c r="A89" s="848" t="str">
        <f t="shared" si="71"/>
        <v>#REF!</v>
      </c>
      <c r="B89" s="849" t="str">
        <f t="shared" si="72"/>
        <v>#REF!</v>
      </c>
      <c r="C89" s="850" t="str">
        <f t="shared" ref="C89:D89" si="76">'WEEK 4 Master Sheet '!C89</f>
        <v>#REF!</v>
      </c>
      <c r="D89" s="738" t="str">
        <f t="shared" si="76"/>
        <v>#REF!</v>
      </c>
      <c r="E89" s="851"/>
      <c r="F89" s="297">
        <v>12.0</v>
      </c>
    </row>
    <row r="90">
      <c r="A90" s="852" t="str">
        <f t="shared" si="71"/>
        <v>#REF!</v>
      </c>
      <c r="B90" s="16"/>
      <c r="C90" s="16"/>
      <c r="D90" s="16"/>
      <c r="E90" s="16"/>
      <c r="F90" s="16"/>
    </row>
    <row r="92">
      <c r="A92" s="570" t="str">
        <f t="shared" ref="A92:A99" si="77">'WEEK 4 Master Sheet '!A92</f>
        <v>#REF!</v>
      </c>
      <c r="B92" s="44"/>
      <c r="C92" s="44"/>
      <c r="D92" s="44"/>
      <c r="E92" s="44"/>
      <c r="F92" s="45"/>
      <c r="G92" s="214" t="str">
        <f>'WEEK 4 Master Sheet '!G95</f>
        <v>#REF!</v>
      </c>
      <c r="H92" s="917" t="str">
        <f t="shared" ref="H92:H97" si="78">'WEEK 4 Master Sheet '!H92</f>
        <v>#REF!</v>
      </c>
      <c r="I92" s="16"/>
      <c r="J92" s="16"/>
      <c r="K92" s="16"/>
      <c r="L92" s="16"/>
      <c r="M92" s="17"/>
      <c r="N92" s="854"/>
    </row>
    <row r="93">
      <c r="A93" s="193" t="str">
        <f t="shared" si="77"/>
        <v>#REF!</v>
      </c>
      <c r="B93" s="85" t="str">
        <f t="shared" ref="B93:B97" si="79">'WEEK 4 Master Sheet '!B93</f>
        <v>#REF!</v>
      </c>
      <c r="C93" s="11"/>
      <c r="D93" s="11"/>
      <c r="E93" s="11"/>
      <c r="F93" s="86"/>
      <c r="H93" s="918" t="str">
        <f t="shared" si="78"/>
        <v>#REF!</v>
      </c>
      <c r="I93" s="919" t="str">
        <f t="shared" ref="I93:I97" si="81">'WEEK 4 Master Sheet '!I93</f>
        <v>#REF!</v>
      </c>
      <c r="J93" s="44"/>
      <c r="K93" s="44"/>
      <c r="L93" s="44"/>
      <c r="M93" s="45"/>
    </row>
    <row r="94">
      <c r="A94" s="87" t="str">
        <f t="shared" si="77"/>
        <v>#REF!</v>
      </c>
      <c r="B94" s="88" t="str">
        <f t="shared" si="79"/>
        <v>#REF!</v>
      </c>
      <c r="C94" s="88" t="str">
        <f t="shared" ref="C94:F94" si="80">'WEEK 4 Master Sheet '!C94</f>
        <v>#REF!</v>
      </c>
      <c r="D94" s="856" t="str">
        <f t="shared" si="80"/>
        <v>#REF!</v>
      </c>
      <c r="E94" s="89" t="str">
        <f t="shared" si="80"/>
        <v>#REF!</v>
      </c>
      <c r="F94" s="202" t="str">
        <f t="shared" si="80"/>
        <v>#REF!</v>
      </c>
      <c r="G94" s="826" t="str">
        <f>'WEEK 4 Master Sheet '!G97</f>
        <v>#REF!</v>
      </c>
      <c r="H94" s="87" t="str">
        <f t="shared" si="78"/>
        <v>#REF!</v>
      </c>
      <c r="I94" s="88" t="str">
        <f t="shared" si="81"/>
        <v>#REF!</v>
      </c>
      <c r="J94" s="88" t="str">
        <f t="shared" ref="J94:M94" si="82">'WEEK 4 Master Sheet '!J94</f>
        <v>#REF!</v>
      </c>
      <c r="K94" s="856" t="str">
        <f t="shared" si="82"/>
        <v>#REF!</v>
      </c>
      <c r="L94" s="89" t="str">
        <f t="shared" si="82"/>
        <v>#REF!</v>
      </c>
      <c r="M94" s="202" t="str">
        <f t="shared" si="82"/>
        <v>#REF!</v>
      </c>
    </row>
    <row r="95">
      <c r="A95" s="211" t="str">
        <f t="shared" si="77"/>
        <v>#REF!</v>
      </c>
      <c r="B95" s="90" t="str">
        <f t="shared" si="79"/>
        <v>#REF!</v>
      </c>
      <c r="C95" s="90" t="str">
        <f t="shared" ref="C95:E95" si="83">'WEEK 4 Master Sheet '!C95</f>
        <v>#REF!</v>
      </c>
      <c r="D95" s="857" t="str">
        <f t="shared" si="83"/>
        <v>#REF!</v>
      </c>
      <c r="E95" s="91" t="str">
        <f t="shared" si="83"/>
        <v>#REF!</v>
      </c>
      <c r="F95" s="903">
        <v>15.0</v>
      </c>
      <c r="G95" s="826"/>
      <c r="H95" s="211" t="str">
        <f t="shared" si="78"/>
        <v>#REF!</v>
      </c>
      <c r="I95" s="90" t="str">
        <f t="shared" si="81"/>
        <v>#REF!</v>
      </c>
      <c r="J95" s="90" t="str">
        <f t="shared" ref="J95:L95" si="84">'WEEK 4 Master Sheet '!J95</f>
        <v>#REF!</v>
      </c>
      <c r="K95" s="857" t="str">
        <f t="shared" si="84"/>
        <v>#REF!</v>
      </c>
      <c r="L95" s="91" t="str">
        <f t="shared" si="84"/>
        <v>#REF!</v>
      </c>
      <c r="M95" s="903"/>
    </row>
    <row r="96">
      <c r="A96" s="209" t="str">
        <f t="shared" si="77"/>
        <v>#REF!</v>
      </c>
      <c r="B96" s="90" t="str">
        <f t="shared" si="79"/>
        <v>#REF!</v>
      </c>
      <c r="C96" s="90" t="str">
        <f t="shared" ref="C96:E96" si="85">'WEEK 4 Master Sheet '!C96</f>
        <v>#REF!</v>
      </c>
      <c r="D96" s="857" t="str">
        <f t="shared" si="85"/>
        <v>#REF!</v>
      </c>
      <c r="E96" s="91" t="str">
        <f t="shared" si="85"/>
        <v>#REF!</v>
      </c>
      <c r="F96" s="903">
        <v>15.0</v>
      </c>
      <c r="G96" s="826"/>
      <c r="H96" s="209" t="str">
        <f t="shared" si="78"/>
        <v>#REF!</v>
      </c>
      <c r="I96" s="90" t="str">
        <f t="shared" si="81"/>
        <v>#REF!</v>
      </c>
      <c r="J96" s="90" t="str">
        <f t="shared" ref="J96:L96" si="86">'WEEK 4 Master Sheet '!J96</f>
        <v>#REF!</v>
      </c>
      <c r="K96" s="857" t="str">
        <f t="shared" si="86"/>
        <v>#REF!</v>
      </c>
      <c r="L96" s="91" t="str">
        <f t="shared" si="86"/>
        <v>#REF!</v>
      </c>
      <c r="M96" s="903"/>
    </row>
    <row r="97">
      <c r="A97" s="256" t="str">
        <f t="shared" si="77"/>
        <v>#REF!</v>
      </c>
      <c r="B97" s="92" t="str">
        <f t="shared" si="79"/>
        <v>#REF!</v>
      </c>
      <c r="C97" s="92" t="str">
        <f t="shared" ref="C97:E97" si="87">'WEEK 4 Master Sheet '!C97</f>
        <v>#REF!</v>
      </c>
      <c r="D97" s="859" t="str">
        <f t="shared" si="87"/>
        <v>#REF!</v>
      </c>
      <c r="E97" s="93" t="str">
        <f t="shared" si="87"/>
        <v>#REF!</v>
      </c>
      <c r="F97" s="76">
        <v>10.0</v>
      </c>
      <c r="G97" s="826"/>
      <c r="H97" s="256" t="str">
        <f t="shared" si="78"/>
        <v>#REF!</v>
      </c>
      <c r="I97" s="92" t="str">
        <f t="shared" si="81"/>
        <v>#REF!</v>
      </c>
      <c r="J97" s="92" t="str">
        <f t="shared" ref="J97:L97" si="88">'WEEK 4 Master Sheet '!J97</f>
        <v>#REF!</v>
      </c>
      <c r="K97" s="859" t="str">
        <f t="shared" si="88"/>
        <v>#REF!</v>
      </c>
      <c r="L97" s="93" t="str">
        <f t="shared" si="88"/>
        <v>#REF!</v>
      </c>
      <c r="M97" s="76"/>
    </row>
    <row r="98">
      <c r="A98" s="920" t="str">
        <f t="shared" si="77"/>
        <v>#REF!</v>
      </c>
      <c r="B98" s="16"/>
      <c r="C98" s="16"/>
      <c r="D98" s="16"/>
      <c r="E98" s="16"/>
      <c r="F98" s="16"/>
      <c r="G98" s="573" t="str">
        <f>'WEEK 4 Master Sheet '!H98</f>
        <v>#REF!</v>
      </c>
    </row>
    <row r="99">
      <c r="A99" s="804" t="str">
        <f t="shared" si="77"/>
        <v>#REF!</v>
      </c>
      <c r="B99" s="27"/>
      <c r="C99" s="27"/>
      <c r="D99" s="27"/>
      <c r="E99" s="27"/>
      <c r="F99" s="28"/>
    </row>
    <row r="100">
      <c r="A100" s="573"/>
    </row>
    <row r="101">
      <c r="A101" s="577" t="str">
        <f t="shared" ref="A101:A102" si="89">'WEEK 4 Master Sheet '!A101</f>
        <v>#REF!</v>
      </c>
      <c r="B101" s="27"/>
      <c r="C101" s="27"/>
      <c r="D101" s="27"/>
      <c r="E101" s="27"/>
      <c r="F101" s="28"/>
    </row>
    <row r="102">
      <c r="A102" s="860" t="str">
        <f t="shared" si="89"/>
        <v>#REF!</v>
      </c>
    </row>
    <row r="104">
      <c r="A104" s="476" t="str">
        <f>'WEEK 4 Master Sheet '!A104</f>
        <v>#REF!</v>
      </c>
      <c r="B104" s="16"/>
      <c r="C104" s="16"/>
      <c r="D104" s="16"/>
      <c r="E104" s="16"/>
      <c r="F104" s="17"/>
      <c r="G104" s="826"/>
      <c r="H104" s="304" t="str">
        <f t="shared" ref="H104:H105" si="90">'WEEK 4 Master Sheet '!H104</f>
        <v>#REF!</v>
      </c>
      <c r="I104" s="27"/>
      <c r="J104" s="27"/>
      <c r="K104" s="27"/>
      <c r="L104" s="27"/>
      <c r="M104" s="28"/>
      <c r="N104" s="573"/>
    </row>
    <row r="105">
      <c r="A105" s="303"/>
      <c r="B105" s="2"/>
      <c r="C105" s="2"/>
      <c r="D105" s="2"/>
      <c r="E105" s="2"/>
      <c r="F105" s="37"/>
      <c r="G105" s="826"/>
      <c r="H105" s="862" t="str">
        <f t="shared" si="90"/>
        <v>#REF!</v>
      </c>
      <c r="I105" s="44"/>
      <c r="J105" s="44"/>
      <c r="K105" s="44"/>
      <c r="L105" s="44"/>
      <c r="M105" s="45"/>
    </row>
    <row r="106">
      <c r="A106" s="304" t="str">
        <f t="shared" ref="A106:A117" si="92">'WEEK 4 Master Sheet '!A106</f>
        <v>#REF!</v>
      </c>
      <c r="B106" s="27"/>
      <c r="C106" s="27"/>
      <c r="D106" s="27"/>
      <c r="E106" s="27"/>
      <c r="F106" s="28"/>
      <c r="G106" s="921" t="str">
        <f t="shared" ref="G106:I106" si="91">'WEEK 4 Master Sheet '!G106</f>
        <v>#REF!</v>
      </c>
      <c r="H106" s="565" t="str">
        <f t="shared" si="91"/>
        <v>#REF!</v>
      </c>
      <c r="I106" s="194" t="str">
        <f t="shared" si="91"/>
        <v>#REF!</v>
      </c>
      <c r="J106" s="11"/>
      <c r="K106" s="11"/>
      <c r="L106" s="11"/>
      <c r="M106" s="86"/>
    </row>
    <row r="107">
      <c r="A107" s="479" t="str">
        <f t="shared" si="92"/>
        <v>#REF!</v>
      </c>
      <c r="B107" s="44"/>
      <c r="C107" s="44"/>
      <c r="D107" s="44"/>
      <c r="E107" s="44"/>
      <c r="F107" s="45"/>
      <c r="H107" s="331" t="str">
        <f t="shared" ref="H107:M107" si="93">'WEEK 4 Master Sheet '!H107</f>
        <v>#REF!</v>
      </c>
      <c r="I107" s="332" t="str">
        <f t="shared" si="93"/>
        <v>#REF!</v>
      </c>
      <c r="J107" s="332" t="str">
        <f t="shared" si="93"/>
        <v>#REF!</v>
      </c>
      <c r="K107" s="332" t="str">
        <f t="shared" si="93"/>
        <v>#REF!</v>
      </c>
      <c r="L107" s="584" t="str">
        <f t="shared" si="93"/>
        <v>#REF!</v>
      </c>
      <c r="M107" s="202" t="str">
        <f t="shared" si="93"/>
        <v>#REF!</v>
      </c>
    </row>
    <row r="108">
      <c r="A108" s="87" t="str">
        <f t="shared" si="92"/>
        <v>#REF!</v>
      </c>
      <c r="B108" s="88" t="str">
        <f t="shared" ref="B108:F108" si="94">'WEEK 4 Master Sheet '!B108</f>
        <v>#REF!</v>
      </c>
      <c r="C108" s="88" t="str">
        <f t="shared" si="94"/>
        <v>#REF!</v>
      </c>
      <c r="D108" s="88" t="str">
        <f t="shared" si="94"/>
        <v>#REF!</v>
      </c>
      <c r="E108" s="308" t="str">
        <f t="shared" si="94"/>
        <v>#REF!</v>
      </c>
      <c r="F108" s="202" t="str">
        <f t="shared" si="94"/>
        <v>#REF!</v>
      </c>
      <c r="G108" s="826"/>
      <c r="H108" s="203" t="str">
        <f t="shared" ref="H108:L108" si="95">'WEEK 4 Master Sheet '!H108</f>
        <v>#REF!</v>
      </c>
      <c r="I108" s="204" t="str">
        <f t="shared" si="95"/>
        <v>#REF!</v>
      </c>
      <c r="J108" s="204" t="str">
        <f t="shared" si="95"/>
        <v>#REF!</v>
      </c>
      <c r="K108" s="205" t="str">
        <f t="shared" si="95"/>
        <v>#REF!</v>
      </c>
      <c r="L108" s="57" t="str">
        <f t="shared" si="95"/>
        <v>#REF!</v>
      </c>
      <c r="M108" s="58">
        <v>6.0</v>
      </c>
    </row>
    <row r="109">
      <c r="A109" s="309" t="str">
        <f t="shared" si="92"/>
        <v>#REF!</v>
      </c>
      <c r="B109" s="310" t="str">
        <f t="shared" ref="B109:E109" si="96">'WEEK 4 Master Sheet '!B109</f>
        <v>#REF!</v>
      </c>
      <c r="C109" s="311" t="str">
        <f t="shared" si="96"/>
        <v>#REF!</v>
      </c>
      <c r="D109" s="312" t="str">
        <f t="shared" si="96"/>
        <v>#REF!</v>
      </c>
      <c r="E109" s="313" t="str">
        <f t="shared" si="96"/>
        <v>#REF!</v>
      </c>
      <c r="F109" s="76"/>
      <c r="H109" s="203" t="str">
        <f t="shared" ref="H109:L109" si="97">'WEEK 4 Master Sheet '!H109</f>
        <v>#REF!</v>
      </c>
      <c r="I109" s="204" t="str">
        <f t="shared" si="97"/>
        <v>#REF!</v>
      </c>
      <c r="J109" s="204" t="str">
        <f t="shared" si="97"/>
        <v>#REF!</v>
      </c>
      <c r="K109" s="205" t="str">
        <f t="shared" si="97"/>
        <v>#REF!</v>
      </c>
      <c r="L109" s="57" t="str">
        <f t="shared" si="97"/>
        <v>#REF!</v>
      </c>
      <c r="M109" s="58">
        <v>1.0</v>
      </c>
    </row>
    <row r="110">
      <c r="A110" s="309" t="str">
        <f t="shared" si="92"/>
        <v>#REF!</v>
      </c>
      <c r="B110" s="315" t="str">
        <f t="shared" ref="B110:E110" si="98">'WEEK 4 Master Sheet '!B110</f>
        <v>#REF!</v>
      </c>
      <c r="C110" s="311" t="str">
        <f t="shared" si="98"/>
        <v>#REF!</v>
      </c>
      <c r="D110" s="312" t="str">
        <f t="shared" si="98"/>
        <v>#REF!</v>
      </c>
      <c r="E110" s="313" t="str">
        <f t="shared" si="98"/>
        <v>#REF!</v>
      </c>
      <c r="F110" s="76"/>
      <c r="H110" s="209" t="str">
        <f t="shared" ref="H110:L110" si="99">'WEEK 4 Master Sheet '!H110</f>
        <v>#REF!</v>
      </c>
      <c r="I110" s="204" t="str">
        <f t="shared" si="99"/>
        <v>#REF!</v>
      </c>
      <c r="J110" s="73" t="str">
        <f t="shared" si="99"/>
        <v>#REF!</v>
      </c>
      <c r="K110" s="56" t="str">
        <f t="shared" si="99"/>
        <v>#REF!</v>
      </c>
      <c r="L110" s="57" t="str">
        <f t="shared" si="99"/>
        <v>#REF!</v>
      </c>
      <c r="M110" s="58">
        <v>1.0</v>
      </c>
    </row>
    <row r="111">
      <c r="A111" s="309" t="str">
        <f t="shared" si="92"/>
        <v>#REF!</v>
      </c>
      <c r="B111" s="315" t="str">
        <f t="shared" ref="B111:E111" si="100">'WEEK 4 Master Sheet '!B111</f>
        <v>#REF!</v>
      </c>
      <c r="C111" s="311" t="str">
        <f t="shared" si="100"/>
        <v>#REF!</v>
      </c>
      <c r="D111" s="312" t="str">
        <f t="shared" si="100"/>
        <v>#REF!</v>
      </c>
      <c r="E111" s="313" t="str">
        <f t="shared" si="100"/>
        <v>#REF!</v>
      </c>
      <c r="F111" s="76"/>
      <c r="H111" s="209" t="str">
        <f t="shared" ref="H111:K111" si="101">'WEEK 4 Master Sheet '!H111</f>
        <v>#REF!</v>
      </c>
      <c r="I111" s="204" t="str">
        <f t="shared" si="101"/>
        <v>#REF!</v>
      </c>
      <c r="J111" s="73" t="str">
        <f t="shared" si="101"/>
        <v>#REF!</v>
      </c>
      <c r="K111" s="56" t="str">
        <f t="shared" si="101"/>
        <v>#REF!</v>
      </c>
      <c r="L111" s="57"/>
      <c r="M111" s="58">
        <v>1.0</v>
      </c>
    </row>
    <row r="112">
      <c r="A112" s="309" t="str">
        <f t="shared" si="92"/>
        <v>#REF!</v>
      </c>
      <c r="B112" s="315" t="str">
        <f t="shared" ref="B112:E112" si="102">'WEEK 4 Master Sheet '!B112</f>
        <v>#REF!</v>
      </c>
      <c r="C112" s="311" t="str">
        <f t="shared" si="102"/>
        <v>#REF!</v>
      </c>
      <c r="D112" s="312" t="str">
        <f t="shared" si="102"/>
        <v>#REF!</v>
      </c>
      <c r="E112" s="313" t="str">
        <f t="shared" si="102"/>
        <v>#REF!</v>
      </c>
      <c r="F112" s="76"/>
      <c r="H112" s="213" t="str">
        <f t="shared" ref="H112:H118" si="104">'WEEK 4 Master Sheet '!H112</f>
        <v>#REF!</v>
      </c>
      <c r="I112" s="11"/>
      <c r="J112" s="11"/>
      <c r="K112" s="11"/>
      <c r="L112" s="11"/>
      <c r="M112" s="86"/>
    </row>
    <row r="113">
      <c r="A113" s="309" t="str">
        <f t="shared" si="92"/>
        <v>#REF!</v>
      </c>
      <c r="B113" s="315" t="str">
        <f t="shared" ref="B113:E113" si="103">'WEEK 4 Master Sheet '!B113</f>
        <v>#REF!</v>
      </c>
      <c r="C113" s="311" t="str">
        <f t="shared" si="103"/>
        <v>#REF!</v>
      </c>
      <c r="D113" s="312" t="str">
        <f t="shared" si="103"/>
        <v>#REF!</v>
      </c>
      <c r="E113" s="313" t="str">
        <f t="shared" si="103"/>
        <v>#REF!</v>
      </c>
      <c r="F113" s="76"/>
      <c r="H113" s="209" t="str">
        <f t="shared" si="104"/>
        <v>#REF!</v>
      </c>
      <c r="I113" s="204" t="str">
        <f t="shared" ref="I113:K113" si="105">'WEEK 4 Master Sheet '!I113</f>
        <v>#REF!</v>
      </c>
      <c r="J113" s="73" t="str">
        <f t="shared" si="105"/>
        <v>#REF!</v>
      </c>
      <c r="K113" s="56" t="str">
        <f t="shared" si="105"/>
        <v>#REF!</v>
      </c>
      <c r="L113" s="57"/>
      <c r="M113" s="230">
        <v>1.0</v>
      </c>
    </row>
    <row r="114">
      <c r="A114" s="309" t="str">
        <f t="shared" si="92"/>
        <v>#REF!</v>
      </c>
      <c r="B114" s="317" t="str">
        <f t="shared" ref="B114:E114" si="106">'WEEK 4 Master Sheet '!B114</f>
        <v>#REF!</v>
      </c>
      <c r="C114" s="311" t="str">
        <f t="shared" si="106"/>
        <v>#REF!</v>
      </c>
      <c r="D114" s="312" t="str">
        <f t="shared" si="106"/>
        <v>#REF!</v>
      </c>
      <c r="E114" s="318" t="str">
        <f t="shared" si="106"/>
        <v>#REF!</v>
      </c>
      <c r="F114" s="76"/>
      <c r="H114" s="209" t="str">
        <f t="shared" si="104"/>
        <v>#REF!</v>
      </c>
      <c r="I114" s="204" t="str">
        <f t="shared" ref="I114:L114" si="107">'WEEK 4 Master Sheet '!I114</f>
        <v>#REF!</v>
      </c>
      <c r="J114" s="73" t="str">
        <f t="shared" si="107"/>
        <v>#REF!</v>
      </c>
      <c r="K114" s="56" t="str">
        <f t="shared" si="107"/>
        <v>#REF!</v>
      </c>
      <c r="L114" s="57" t="str">
        <f t="shared" si="107"/>
        <v>#REF!</v>
      </c>
      <c r="M114" s="642">
        <v>0.0</v>
      </c>
    </row>
    <row r="115">
      <c r="A115" s="319" t="str">
        <f t="shared" si="92"/>
        <v>#REF!</v>
      </c>
      <c r="B115" s="320" t="str">
        <f t="shared" ref="B115:E115" si="108">'WEEK 4 Master Sheet '!B115</f>
        <v>#REF!</v>
      </c>
      <c r="C115" s="321" t="str">
        <f t="shared" si="108"/>
        <v>#REF!</v>
      </c>
      <c r="D115" s="322" t="str">
        <f t="shared" si="108"/>
        <v>#REF!</v>
      </c>
      <c r="E115" s="323" t="str">
        <f t="shared" si="108"/>
        <v>#REF!</v>
      </c>
      <c r="F115" s="76"/>
      <c r="H115" s="213" t="str">
        <f t="shared" si="104"/>
        <v>#REF!</v>
      </c>
      <c r="I115" s="11"/>
      <c r="J115" s="11"/>
      <c r="K115" s="11"/>
      <c r="L115" s="11"/>
      <c r="M115" s="86"/>
    </row>
    <row r="116">
      <c r="A116" s="324" t="str">
        <f t="shared" si="92"/>
        <v>#REF!</v>
      </c>
      <c r="B116" s="325">
        <v>228.0</v>
      </c>
      <c r="C116" s="27"/>
      <c r="D116" s="27"/>
      <c r="E116" s="27"/>
      <c r="F116" s="28"/>
      <c r="H116" s="863" t="str">
        <f t="shared" si="104"/>
        <v>#REF!</v>
      </c>
      <c r="I116" s="232" t="str">
        <f t="shared" ref="I116:L116" si="109">'WEEK 4 Master Sheet '!I116</f>
        <v>#REF!</v>
      </c>
      <c r="J116" s="233" t="str">
        <f t="shared" si="109"/>
        <v>#REF!</v>
      </c>
      <c r="K116" s="234" t="str">
        <f t="shared" si="109"/>
        <v>#REF!</v>
      </c>
      <c r="L116" s="235" t="str">
        <f t="shared" si="109"/>
        <v>#REF!</v>
      </c>
      <c r="M116" s="58">
        <v>0.0</v>
      </c>
    </row>
    <row r="117">
      <c r="A117" s="1" t="str">
        <f t="shared" si="92"/>
        <v>#REF!</v>
      </c>
      <c r="H117" s="209" t="str">
        <f t="shared" si="104"/>
        <v>#REF!</v>
      </c>
      <c r="I117" s="204" t="str">
        <f t="shared" ref="I117:L117" si="110">'WEEK 4 Master Sheet '!I117</f>
        <v>#REF!</v>
      </c>
      <c r="J117" s="212" t="str">
        <f t="shared" si="110"/>
        <v>#REF!</v>
      </c>
      <c r="K117" s="234" t="str">
        <f t="shared" si="110"/>
        <v>#REF!</v>
      </c>
      <c r="L117" s="235" t="str">
        <f t="shared" si="110"/>
        <v>#REF!</v>
      </c>
      <c r="M117" s="58">
        <v>5.0</v>
      </c>
    </row>
    <row r="118">
      <c r="H118" s="239" t="str">
        <f t="shared" si="104"/>
        <v>#REF!</v>
      </c>
      <c r="I118" s="299" t="str">
        <f>'WEEK 4 Master Sheet '!I118</f>
        <v>#REF!</v>
      </c>
      <c r="J118" s="24"/>
      <c r="K118" s="24"/>
      <c r="L118" s="24"/>
      <c r="M118" s="25"/>
    </row>
    <row r="119">
      <c r="G119" s="826"/>
    </row>
    <row r="120">
      <c r="A120" s="880" t="str">
        <f t="shared" ref="A120:A126" si="111">'WEEK 4 Master Sheet '!A120</f>
        <v>#REF!</v>
      </c>
      <c r="B120" s="44"/>
      <c r="C120" s="44"/>
      <c r="D120" s="44"/>
      <c r="E120" s="44"/>
      <c r="F120" s="45"/>
    </row>
    <row r="121">
      <c r="A121" s="193" t="str">
        <f t="shared" si="111"/>
        <v>#REF!</v>
      </c>
      <c r="B121" s="194" t="str">
        <f t="shared" ref="B121:B125" si="112">'WEEK 4 Master Sheet '!B121</f>
        <v>#REF!</v>
      </c>
      <c r="C121" s="11"/>
      <c r="D121" s="11"/>
      <c r="E121" s="11"/>
      <c r="F121" s="86"/>
    </row>
    <row r="122">
      <c r="A122" s="331" t="str">
        <f t="shared" si="111"/>
        <v>#REF!</v>
      </c>
      <c r="B122" s="332" t="str">
        <f t="shared" si="112"/>
        <v>#REF!</v>
      </c>
      <c r="C122" s="332" t="str">
        <f t="shared" ref="C122:F122" si="113">'WEEK 4 Master Sheet '!C122</f>
        <v>#REF!</v>
      </c>
      <c r="D122" s="332" t="str">
        <f t="shared" si="113"/>
        <v>#REF!</v>
      </c>
      <c r="E122" s="584" t="str">
        <f t="shared" si="113"/>
        <v>#REF!</v>
      </c>
      <c r="F122" s="202" t="str">
        <f t="shared" si="113"/>
        <v>#REF!</v>
      </c>
    </row>
    <row r="123">
      <c r="A123" s="574" t="str">
        <f t="shared" si="111"/>
        <v>#REF!</v>
      </c>
      <c r="B123" s="567" t="str">
        <f t="shared" si="112"/>
        <v>#REF!</v>
      </c>
      <c r="C123" s="922" t="str">
        <f t="shared" ref="C123:E123" si="114">'WEEK 4 Master Sheet '!C123</f>
        <v>#REF!</v>
      </c>
      <c r="D123" s="923" t="str">
        <f t="shared" si="114"/>
        <v>#REF!</v>
      </c>
      <c r="E123" s="924" t="str">
        <f t="shared" si="114"/>
        <v>#REF!</v>
      </c>
      <c r="F123" s="925">
        <v>15.0</v>
      </c>
    </row>
    <row r="124">
      <c r="A124" s="574" t="str">
        <f t="shared" si="111"/>
        <v>#REF!</v>
      </c>
      <c r="B124" s="567" t="str">
        <f t="shared" si="112"/>
        <v>#REF!</v>
      </c>
      <c r="C124" s="922" t="str">
        <f t="shared" ref="C124:E124" si="115">'WEEK 4 Master Sheet '!C124</f>
        <v>#REF!</v>
      </c>
      <c r="D124" s="923" t="str">
        <f t="shared" si="115"/>
        <v>#REF!</v>
      </c>
      <c r="E124" s="924" t="str">
        <f t="shared" si="115"/>
        <v>#REF!</v>
      </c>
      <c r="F124" s="925">
        <v>15.0</v>
      </c>
    </row>
    <row r="125">
      <c r="A125" s="926" t="str">
        <f t="shared" si="111"/>
        <v>#REF!</v>
      </c>
      <c r="B125" s="588" t="str">
        <f t="shared" si="112"/>
        <v>#REF!</v>
      </c>
      <c r="C125" s="927" t="str">
        <f t="shared" ref="C125:E125" si="116">'WEEK 4 Master Sheet '!C125</f>
        <v>#REF!</v>
      </c>
      <c r="D125" s="928" t="str">
        <f t="shared" si="116"/>
        <v>#REF!</v>
      </c>
      <c r="E125" s="929" t="str">
        <f t="shared" si="116"/>
        <v>#REF!</v>
      </c>
      <c r="F125" s="925">
        <v>15.0</v>
      </c>
    </row>
    <row r="126">
      <c r="A126" s="615" t="str">
        <f t="shared" si="111"/>
        <v>#REF!</v>
      </c>
    </row>
    <row r="128">
      <c r="A128" s="489" t="str">
        <f t="shared" ref="A128:A134" si="117">'WEEK 4 Master Sheet '!A128</f>
        <v>#REF!</v>
      </c>
      <c r="B128" s="44"/>
      <c r="C128" s="44"/>
      <c r="D128" s="44"/>
      <c r="E128" s="44"/>
      <c r="F128" s="45"/>
    </row>
    <row r="129">
      <c r="A129" s="193" t="str">
        <f t="shared" si="117"/>
        <v>#REF!</v>
      </c>
      <c r="B129" s="81" t="str">
        <f t="shared" ref="B129:B133" si="118">'WEEK 4 Master Sheet '!B129</f>
        <v>#REF!</v>
      </c>
      <c r="C129" s="4"/>
      <c r="D129" s="4"/>
      <c r="E129" s="4"/>
      <c r="F129" s="48"/>
    </row>
    <row r="130">
      <c r="A130" s="343" t="str">
        <f t="shared" si="117"/>
        <v>#REF!</v>
      </c>
      <c r="B130" s="70" t="str">
        <f t="shared" si="118"/>
        <v>#REF!</v>
      </c>
      <c r="C130" s="70" t="str">
        <f t="shared" ref="C130:F130" si="119">'WEEK 4 Master Sheet '!C130</f>
        <v>#REF!</v>
      </c>
      <c r="D130" s="70" t="str">
        <f t="shared" si="119"/>
        <v>#REF!</v>
      </c>
      <c r="E130" s="89" t="str">
        <f t="shared" si="119"/>
        <v>#REF!</v>
      </c>
      <c r="F130" s="202" t="str">
        <f t="shared" si="119"/>
        <v>#REF!</v>
      </c>
    </row>
    <row r="131">
      <c r="A131" s="72" t="str">
        <f t="shared" si="117"/>
        <v>#REF!</v>
      </c>
      <c r="B131" s="73" t="str">
        <f t="shared" si="118"/>
        <v>#REF!</v>
      </c>
      <c r="C131" s="56" t="str">
        <f t="shared" ref="C131:E131" si="120">'WEEK 4 Master Sheet '!C131</f>
        <v>#REF!</v>
      </c>
      <c r="D131" s="74" t="str">
        <f t="shared" si="120"/>
        <v>#REF!</v>
      </c>
      <c r="E131" s="345" t="str">
        <f t="shared" si="120"/>
        <v>#REF!</v>
      </c>
      <c r="F131" s="903">
        <v>15.0</v>
      </c>
    </row>
    <row r="132">
      <c r="A132" s="72" t="str">
        <f t="shared" si="117"/>
        <v>#REF!</v>
      </c>
      <c r="B132" s="73" t="str">
        <f t="shared" si="118"/>
        <v>#REF!</v>
      </c>
      <c r="C132" s="56" t="str">
        <f t="shared" ref="C132:E132" si="121">'WEEK 4 Master Sheet '!C132</f>
        <v>#REF!</v>
      </c>
      <c r="D132" s="74" t="str">
        <f t="shared" si="121"/>
        <v>#REF!</v>
      </c>
      <c r="E132" s="345" t="str">
        <f t="shared" si="121"/>
        <v>#REF!</v>
      </c>
      <c r="F132" s="903">
        <v>15.0</v>
      </c>
    </row>
    <row r="133">
      <c r="A133" s="77" t="str">
        <f t="shared" si="117"/>
        <v>#REF!</v>
      </c>
      <c r="B133" s="78" t="str">
        <f t="shared" si="118"/>
        <v>#REF!</v>
      </c>
      <c r="C133" s="62" t="str">
        <f t="shared" ref="C133:E133" si="122">'WEEK 4 Master Sheet '!C133</f>
        <v>#REF!</v>
      </c>
      <c r="D133" s="79" t="str">
        <f t="shared" si="122"/>
        <v>#REF!</v>
      </c>
      <c r="E133" s="346" t="str">
        <f t="shared" si="122"/>
        <v>#REF!</v>
      </c>
      <c r="F133" s="76">
        <v>15.0</v>
      </c>
    </row>
    <row r="134">
      <c r="A134" s="615" t="str">
        <f t="shared" si="117"/>
        <v>#REF!</v>
      </c>
    </row>
    <row r="136">
      <c r="A136" s="328" t="str">
        <f t="shared" ref="A136:A142" si="123">'WEEK 4 Master Sheet '!A136</f>
        <v>#REF!</v>
      </c>
      <c r="B136" s="44"/>
      <c r="C136" s="44"/>
      <c r="D136" s="44"/>
      <c r="E136" s="44"/>
      <c r="F136" s="45"/>
    </row>
    <row r="137">
      <c r="A137" s="193" t="str">
        <f t="shared" si="123"/>
        <v>#REF!</v>
      </c>
      <c r="B137" s="67" t="str">
        <f t="shared" ref="B137:B141" si="124">'WEEK 4 Master Sheet '!B137</f>
        <v>#REF!</v>
      </c>
      <c r="C137" s="4"/>
      <c r="D137" s="4"/>
      <c r="E137" s="4"/>
      <c r="F137" s="48"/>
    </row>
    <row r="138">
      <c r="A138" s="68" t="str">
        <f t="shared" si="123"/>
        <v>#REF!</v>
      </c>
      <c r="B138" s="69" t="str">
        <f t="shared" si="124"/>
        <v>#REF!</v>
      </c>
      <c r="C138" s="69" t="str">
        <f t="shared" ref="C138:F138" si="125">'WEEK 4 Master Sheet '!C138</f>
        <v>#REF!</v>
      </c>
      <c r="D138" s="69" t="str">
        <f t="shared" si="125"/>
        <v>#REF!</v>
      </c>
      <c r="E138" s="71" t="str">
        <f t="shared" si="125"/>
        <v>#REF!</v>
      </c>
      <c r="F138" s="202" t="str">
        <f t="shared" si="125"/>
        <v>#REF!</v>
      </c>
    </row>
    <row r="139">
      <c r="A139" s="72" t="str">
        <f t="shared" si="123"/>
        <v>#REF!</v>
      </c>
      <c r="B139" s="73" t="str">
        <f t="shared" si="124"/>
        <v>#REF!</v>
      </c>
      <c r="C139" s="56" t="str">
        <f t="shared" ref="C139:E139" si="126">'WEEK 4 Master Sheet '!C139</f>
        <v>#REF!</v>
      </c>
      <c r="D139" s="74" t="str">
        <f t="shared" si="126"/>
        <v>#REF!</v>
      </c>
      <c r="E139" s="75" t="str">
        <f t="shared" si="126"/>
        <v>#REF!</v>
      </c>
      <c r="F139" s="76">
        <v>15.0</v>
      </c>
    </row>
    <row r="140">
      <c r="A140" s="72" t="str">
        <f t="shared" si="123"/>
        <v>#REF!</v>
      </c>
      <c r="B140" s="73" t="str">
        <f t="shared" si="124"/>
        <v>#REF!</v>
      </c>
      <c r="C140" s="56" t="str">
        <f t="shared" ref="C140:E140" si="127">'WEEK 4 Master Sheet '!C140</f>
        <v>#REF!</v>
      </c>
      <c r="D140" s="74" t="str">
        <f t="shared" si="127"/>
        <v>#REF!</v>
      </c>
      <c r="E140" s="75" t="str">
        <f t="shared" si="127"/>
        <v>#REF!</v>
      </c>
      <c r="F140" s="76">
        <v>15.0</v>
      </c>
    </row>
    <row r="141">
      <c r="A141" s="77" t="str">
        <f t="shared" si="123"/>
        <v>#REF!</v>
      </c>
      <c r="B141" s="78" t="str">
        <f t="shared" si="124"/>
        <v>#REF!</v>
      </c>
      <c r="C141" s="62" t="str">
        <f t="shared" ref="C141:E141" si="128">'WEEK 4 Master Sheet '!C141</f>
        <v>#REF!</v>
      </c>
      <c r="D141" s="79" t="str">
        <f t="shared" si="128"/>
        <v>#REF!</v>
      </c>
      <c r="E141" s="80" t="str">
        <f t="shared" si="128"/>
        <v>#REF!</v>
      </c>
      <c r="F141" s="76">
        <v>15.0</v>
      </c>
    </row>
    <row r="142">
      <c r="A142" s="573" t="str">
        <f t="shared" si="123"/>
        <v>#REF!</v>
      </c>
    </row>
    <row r="144">
      <c r="A144" s="930" t="str">
        <f t="shared" ref="A144:A149" si="129">'WEEK 4 Master Sheet '!A144</f>
        <v>#REF!</v>
      </c>
      <c r="B144" s="44"/>
      <c r="C144" s="44"/>
      <c r="D144" s="44"/>
      <c r="E144" s="44"/>
      <c r="F144" s="45"/>
    </row>
    <row r="145">
      <c r="A145" s="193" t="str">
        <f t="shared" si="129"/>
        <v>#REF!</v>
      </c>
      <c r="B145" s="67" t="str">
        <f t="shared" ref="B145:B149" si="130">'WEEK 4 Master Sheet '!B145</f>
        <v>#REF!</v>
      </c>
      <c r="C145" s="4"/>
      <c r="D145" s="4"/>
      <c r="E145" s="4"/>
      <c r="F145" s="48"/>
    </row>
    <row r="146">
      <c r="A146" s="68" t="str">
        <f t="shared" si="129"/>
        <v>#REF!</v>
      </c>
      <c r="B146" s="69" t="str">
        <f t="shared" si="130"/>
        <v>#REF!</v>
      </c>
      <c r="C146" s="69" t="str">
        <f t="shared" ref="C146:F146" si="131">'WEEK 4 Master Sheet '!C146</f>
        <v>#REF!</v>
      </c>
      <c r="D146" s="69" t="str">
        <f t="shared" si="131"/>
        <v>#REF!</v>
      </c>
      <c r="E146" s="71" t="str">
        <f t="shared" si="131"/>
        <v>#REF!</v>
      </c>
      <c r="F146" s="202" t="str">
        <f t="shared" si="131"/>
        <v>#REF!</v>
      </c>
    </row>
    <row r="147">
      <c r="A147" s="72" t="str">
        <f t="shared" si="129"/>
        <v>#REF!</v>
      </c>
      <c r="B147" s="73" t="str">
        <f t="shared" si="130"/>
        <v>#REF!</v>
      </c>
      <c r="C147" s="56" t="str">
        <f t="shared" ref="C147:E147" si="132">'WEEK 4 Master Sheet '!C147</f>
        <v>#REF!</v>
      </c>
      <c r="D147" s="74" t="str">
        <f t="shared" si="132"/>
        <v>#REF!</v>
      </c>
      <c r="E147" s="75" t="str">
        <f t="shared" si="132"/>
        <v>#REF!</v>
      </c>
      <c r="F147" s="76">
        <v>14.0</v>
      </c>
    </row>
    <row r="148">
      <c r="A148" s="72" t="str">
        <f t="shared" si="129"/>
        <v>#REF!</v>
      </c>
      <c r="B148" s="73" t="str">
        <f t="shared" si="130"/>
        <v>#REF!</v>
      </c>
      <c r="C148" s="56" t="str">
        <f t="shared" ref="C148:D148" si="133">'WEEK 4 Master Sheet '!C148</f>
        <v>#REF!</v>
      </c>
      <c r="D148" s="74" t="str">
        <f t="shared" si="133"/>
        <v>#REF!</v>
      </c>
      <c r="E148" s="75"/>
      <c r="F148" s="76"/>
    </row>
    <row r="149">
      <c r="A149" s="77" t="str">
        <f t="shared" si="129"/>
        <v>#REF!</v>
      </c>
      <c r="B149" s="78" t="str">
        <f t="shared" si="130"/>
        <v>#REF!</v>
      </c>
      <c r="C149" s="62" t="str">
        <f t="shared" ref="C149:E149" si="134">'WEEK 4 Master Sheet '!C149</f>
        <v>#REF!</v>
      </c>
      <c r="D149" s="79" t="str">
        <f t="shared" si="134"/>
        <v>#REF!</v>
      </c>
      <c r="E149" s="80" t="str">
        <f t="shared" si="134"/>
        <v>#REF!</v>
      </c>
      <c r="F149" s="76"/>
    </row>
    <row r="150">
      <c r="A150" s="931"/>
      <c r="B150" s="931"/>
      <c r="C150" s="931"/>
      <c r="D150" s="931"/>
      <c r="E150" s="931"/>
      <c r="F150" s="931"/>
    </row>
    <row r="151">
      <c r="A151" s="573" t="str">
        <f t="shared" ref="A151:A152" si="135">'WEEK 4 Master Sheet '!A151</f>
        <v>#REF!</v>
      </c>
    </row>
    <row r="152">
      <c r="A152" s="804" t="str">
        <f t="shared" si="135"/>
        <v>#REF!</v>
      </c>
      <c r="B152" s="27"/>
      <c r="C152" s="27"/>
      <c r="D152" s="27"/>
      <c r="E152" s="27"/>
      <c r="F152" s="28"/>
    </row>
    <row r="153">
      <c r="A153" s="573"/>
    </row>
    <row r="154">
      <c r="A154" s="614" t="str">
        <f t="shared" ref="A154:A156" si="136">'WEEK 4 Master Sheet '!A154</f>
        <v>#REF!</v>
      </c>
      <c r="B154" s="27"/>
      <c r="C154" s="27"/>
      <c r="D154" s="27"/>
      <c r="E154" s="27"/>
      <c r="F154" s="28"/>
    </row>
    <row r="155">
      <c r="A155" s="867" t="str">
        <f t="shared" si="136"/>
        <v>#REF!</v>
      </c>
    </row>
    <row r="156">
      <c r="A156" s="932" t="str">
        <f t="shared" si="136"/>
        <v>#REF!</v>
      </c>
      <c r="B156" s="7"/>
      <c r="C156" s="7"/>
      <c r="D156" s="7"/>
      <c r="E156" s="7"/>
      <c r="F156" s="8"/>
    </row>
    <row r="157">
      <c r="A157" s="9"/>
      <c r="B157" s="4"/>
      <c r="C157" s="4"/>
      <c r="D157" s="4"/>
      <c r="E157" s="4"/>
      <c r="F157" s="5"/>
    </row>
    <row r="158">
      <c r="A158" s="869" t="str">
        <f t="shared" ref="A158:C158" si="137">'WEEK 4 Master Sheet '!A158</f>
        <v>#REF!</v>
      </c>
      <c r="B158" s="870" t="str">
        <f t="shared" si="137"/>
        <v>#REF!</v>
      </c>
      <c r="C158" s="933" t="str">
        <f t="shared" si="137"/>
        <v>#REF!</v>
      </c>
      <c r="D158" s="16"/>
      <c r="E158" s="16"/>
      <c r="F158" s="17"/>
    </row>
    <row r="159">
      <c r="A159" s="871" t="str">
        <f t="shared" ref="A159:B159" si="138">'WEEK 4 Master Sheet '!A159</f>
        <v>#REF!</v>
      </c>
      <c r="B159" s="872" t="str">
        <f t="shared" si="138"/>
        <v>#REF!</v>
      </c>
      <c r="C159" s="505"/>
      <c r="F159" s="19"/>
    </row>
    <row r="160">
      <c r="A160" s="871" t="str">
        <f t="shared" ref="A160:B160" si="139">'WEEK 4 Master Sheet '!A160</f>
        <v>#REF!</v>
      </c>
      <c r="B160" s="872" t="str">
        <f t="shared" si="139"/>
        <v>#REF!</v>
      </c>
      <c r="C160" s="505"/>
      <c r="F160" s="19"/>
    </row>
    <row r="161">
      <c r="A161" s="871" t="str">
        <f t="shared" ref="A161:B161" si="140">'WEEK 4 Master Sheet '!A161</f>
        <v>#REF!</v>
      </c>
      <c r="B161" s="872" t="str">
        <f t="shared" si="140"/>
        <v>#REF!</v>
      </c>
      <c r="C161" s="505"/>
      <c r="F161" s="19"/>
    </row>
    <row r="162">
      <c r="A162" s="871" t="str">
        <f t="shared" ref="A162:B162" si="141">'WEEK 4 Master Sheet '!A162</f>
        <v>#REF!</v>
      </c>
      <c r="B162" s="872" t="str">
        <f t="shared" si="141"/>
        <v>#REF!</v>
      </c>
      <c r="C162" s="505"/>
      <c r="F162" s="19"/>
    </row>
    <row r="163">
      <c r="A163" s="871" t="str">
        <f t="shared" ref="A163:B163" si="142">'WEEK 4 Master Sheet '!A163</f>
        <v>#REF!</v>
      </c>
      <c r="B163" s="872" t="str">
        <f t="shared" si="142"/>
        <v>#REF!</v>
      </c>
      <c r="C163" s="505"/>
      <c r="F163" s="19"/>
    </row>
    <row r="164">
      <c r="A164" s="873" t="str">
        <f t="shared" ref="A164:B164" si="143">'WEEK 4 Master Sheet '!A164</f>
        <v>#REF!</v>
      </c>
      <c r="B164" s="872" t="str">
        <f t="shared" si="143"/>
        <v>#REF!</v>
      </c>
      <c r="C164" s="505"/>
      <c r="F164" s="19"/>
    </row>
    <row r="165">
      <c r="A165" s="871" t="str">
        <f t="shared" ref="A165:B165" si="144">'WEEK 4 Master Sheet '!A165</f>
        <v>#REF!</v>
      </c>
      <c r="B165" s="872" t="str">
        <f t="shared" si="144"/>
        <v>#REF!</v>
      </c>
      <c r="C165" s="505"/>
      <c r="F165" s="19"/>
    </row>
    <row r="166">
      <c r="A166" s="871" t="str">
        <f t="shared" ref="A166:B166" si="145">'WEEK 4 Master Sheet '!A166</f>
        <v>#REF!</v>
      </c>
      <c r="B166" s="872" t="str">
        <f t="shared" si="145"/>
        <v>#REF!</v>
      </c>
      <c r="C166" s="505"/>
      <c r="F166" s="19"/>
    </row>
    <row r="167">
      <c r="A167" s="874"/>
      <c r="B167" s="872"/>
      <c r="C167" s="505"/>
      <c r="F167" s="19"/>
    </row>
    <row r="168">
      <c r="A168" s="871"/>
      <c r="B168" s="872"/>
      <c r="C168" s="505"/>
      <c r="F168" s="19"/>
    </row>
    <row r="169">
      <c r="A169" s="871"/>
      <c r="B169" s="872"/>
      <c r="C169" s="505"/>
      <c r="F169" s="19"/>
    </row>
    <row r="170">
      <c r="A170" s="871"/>
      <c r="B170" s="872"/>
      <c r="C170" s="505"/>
      <c r="F170" s="19"/>
    </row>
    <row r="171">
      <c r="A171" s="871"/>
      <c r="B171" s="872"/>
      <c r="C171" s="505"/>
      <c r="F171" s="19"/>
    </row>
    <row r="172">
      <c r="A172" s="875"/>
      <c r="B172" s="876"/>
      <c r="C172" s="303"/>
      <c r="D172" s="2"/>
      <c r="E172" s="2"/>
      <c r="F172" s="37"/>
    </row>
  </sheetData>
  <mergeCells count="115">
    <mergeCell ref="A12:F12"/>
    <mergeCell ref="H12:T14"/>
    <mergeCell ref="A13:F13"/>
    <mergeCell ref="A14:F14"/>
    <mergeCell ref="A15:F15"/>
    <mergeCell ref="H15:M15"/>
    <mergeCell ref="A16:F17"/>
    <mergeCell ref="H16:M17"/>
    <mergeCell ref="A1:T8"/>
    <mergeCell ref="A9:F9"/>
    <mergeCell ref="G9:G18"/>
    <mergeCell ref="H9:M9"/>
    <mergeCell ref="N9:T11"/>
    <mergeCell ref="A10:F11"/>
    <mergeCell ref="H10:M10"/>
    <mergeCell ref="H26:M26"/>
    <mergeCell ref="H28:M28"/>
    <mergeCell ref="A29:F29"/>
    <mergeCell ref="B32:F32"/>
    <mergeCell ref="B36:F36"/>
    <mergeCell ref="O28:T28"/>
    <mergeCell ref="P33:T33"/>
    <mergeCell ref="H34:T34"/>
    <mergeCell ref="N35:T39"/>
    <mergeCell ref="N15:N18"/>
    <mergeCell ref="O15:T15"/>
    <mergeCell ref="O16:T17"/>
    <mergeCell ref="O18:T18"/>
    <mergeCell ref="O19:T19"/>
    <mergeCell ref="P20:T20"/>
    <mergeCell ref="O26:T26"/>
    <mergeCell ref="A33:F34"/>
    <mergeCell ref="I33:M33"/>
    <mergeCell ref="A35:F35"/>
    <mergeCell ref="H35:M35"/>
    <mergeCell ref="I36:M36"/>
    <mergeCell ref="A48:F49"/>
    <mergeCell ref="A50:F50"/>
    <mergeCell ref="B51:F51"/>
    <mergeCell ref="A55:F56"/>
    <mergeCell ref="A57:F57"/>
    <mergeCell ref="B58:F58"/>
    <mergeCell ref="A62:F62"/>
    <mergeCell ref="A63:F63"/>
    <mergeCell ref="A64:F64"/>
    <mergeCell ref="A65:F65"/>
    <mergeCell ref="A66:F67"/>
    <mergeCell ref="A68:F68"/>
    <mergeCell ref="H105:M105"/>
    <mergeCell ref="I106:M106"/>
    <mergeCell ref="H115:M115"/>
    <mergeCell ref="G119:T172"/>
    <mergeCell ref="H92:M92"/>
    <mergeCell ref="N92:T97"/>
    <mergeCell ref="I93:M93"/>
    <mergeCell ref="G98:T103"/>
    <mergeCell ref="H104:M104"/>
    <mergeCell ref="N104:T118"/>
    <mergeCell ref="G108:G118"/>
    <mergeCell ref="G106:G107"/>
    <mergeCell ref="H112:M112"/>
    <mergeCell ref="B116:F116"/>
    <mergeCell ref="A117:F119"/>
    <mergeCell ref="I118:M118"/>
    <mergeCell ref="A120:F120"/>
    <mergeCell ref="B121:F121"/>
    <mergeCell ref="A126:F127"/>
    <mergeCell ref="A128:F128"/>
    <mergeCell ref="B129:F129"/>
    <mergeCell ref="A134:F135"/>
    <mergeCell ref="A136:F136"/>
    <mergeCell ref="B137:F137"/>
    <mergeCell ref="A142:F143"/>
    <mergeCell ref="A156:F157"/>
    <mergeCell ref="C158:F172"/>
    <mergeCell ref="A144:F144"/>
    <mergeCell ref="B145:F145"/>
    <mergeCell ref="A151:F151"/>
    <mergeCell ref="A152:F152"/>
    <mergeCell ref="A153:F153"/>
    <mergeCell ref="A154:F154"/>
    <mergeCell ref="A155:F155"/>
    <mergeCell ref="A18:F18"/>
    <mergeCell ref="H18:M18"/>
    <mergeCell ref="A19:F19"/>
    <mergeCell ref="H19:M19"/>
    <mergeCell ref="G20:G34"/>
    <mergeCell ref="I20:M20"/>
    <mergeCell ref="N20:N33"/>
    <mergeCell ref="A69:F69"/>
    <mergeCell ref="A73:F74"/>
    <mergeCell ref="A75:F75"/>
    <mergeCell ref="B76:F76"/>
    <mergeCell ref="A82:F83"/>
    <mergeCell ref="A84:F84"/>
    <mergeCell ref="B20:F20"/>
    <mergeCell ref="A26:F26"/>
    <mergeCell ref="G36:G91"/>
    <mergeCell ref="A40:F41"/>
    <mergeCell ref="H40:T91"/>
    <mergeCell ref="A42:F42"/>
    <mergeCell ref="B43:F43"/>
    <mergeCell ref="A100:F100"/>
    <mergeCell ref="A101:F101"/>
    <mergeCell ref="A102:F103"/>
    <mergeCell ref="A104:F105"/>
    <mergeCell ref="A106:F106"/>
    <mergeCell ref="A107:F107"/>
    <mergeCell ref="B85:F85"/>
    <mergeCell ref="A90:F91"/>
    <mergeCell ref="A92:F92"/>
    <mergeCell ref="G92:G93"/>
    <mergeCell ref="B93:F93"/>
    <mergeCell ref="A98:F98"/>
    <mergeCell ref="A99:F99"/>
  </mergeCells>
  <dataValidations>
    <dataValidation type="decimal" allowBlank="1" showDropDown="1" showErrorMessage="1" sqref="F22:F25 M22:M25 T22:T25 M27 T27 F27:F28 F30:F31 M29:M32 T29:T32 F38:F39 M38:M39 F45:F47 F53:F54 F60:F61 F71:F72 F78:F81 F87:F89 F95:F97 M95:M97 M108:M111 M113:M114 M116:M117 F123:F125 F131:F133 F139 F141 F147 F149">
      <formula1>0.0</formula1>
      <formula2>500.0</formula2>
    </dataValidation>
    <dataValidation type="decimal" operator="greaterThan" allowBlank="1" showDropDown="1" showErrorMessage="1" sqref="M11">
      <formula1>0.0</formula1>
    </dataValidation>
  </dataValidations>
  <drawing r:id="rId1"/>
</worksheet>
</file>